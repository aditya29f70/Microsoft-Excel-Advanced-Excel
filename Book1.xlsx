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dv_excel_Simplilearn\"/>
    </mc:Choice>
  </mc:AlternateContent>
  <xr:revisionPtr revIDLastSave="0" documentId="13_ncr:1_{81D3F8D7-D51F-499F-8328-EB9A4E68285E}" xr6:coauthVersionLast="47" xr6:coauthVersionMax="47" xr10:uidLastSave="{00000000-0000-0000-0000-000000000000}"/>
  <bookViews>
    <workbookView xWindow="-110" yWindow="-110" windowWidth="19420" windowHeight="10300" activeTab="3" xr2:uid="{CC889E6E-332B-42D2-88E5-BE24F3CC828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" i="4" l="1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E3" i="2"/>
  <c r="E4" i="2"/>
  <c r="E5" i="2"/>
  <c r="E6" i="2"/>
  <c r="E7" i="2"/>
  <c r="E8" i="2"/>
  <c r="E9" i="2"/>
  <c r="E10" i="2"/>
  <c r="E11" i="2"/>
  <c r="E12" i="2"/>
  <c r="E2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2" i="1"/>
</calcChain>
</file>

<file path=xl/sharedStrings.xml><?xml version="1.0" encoding="utf-8"?>
<sst xmlns="http://schemas.openxmlformats.org/spreadsheetml/2006/main" count="390" uniqueCount="98">
  <si>
    <t>id</t>
  </si>
  <si>
    <t>area_type</t>
  </si>
  <si>
    <t>availability</t>
  </si>
  <si>
    <t>location</t>
  </si>
  <si>
    <t>size</t>
  </si>
  <si>
    <t>total_sqft</t>
  </si>
  <si>
    <t>bath</t>
  </si>
  <si>
    <t>balcony</t>
  </si>
  <si>
    <t>price</t>
  </si>
  <si>
    <t>type_I</t>
  </si>
  <si>
    <t>Ready To Move</t>
  </si>
  <si>
    <t>Banashankari 2 nd Stage</t>
  </si>
  <si>
    <t>3 BHK</t>
  </si>
  <si>
    <t>Balagere</t>
  </si>
  <si>
    <t>2 BHK</t>
  </si>
  <si>
    <t>Banashankari Stage V</t>
  </si>
  <si>
    <t>Thigalarapalya</t>
  </si>
  <si>
    <t>type_III</t>
  </si>
  <si>
    <t>arudi</t>
  </si>
  <si>
    <t>3 Bedroom</t>
  </si>
  <si>
    <t>Kadugodi</t>
  </si>
  <si>
    <t>Yelahanka</t>
  </si>
  <si>
    <t>Koramangala</t>
  </si>
  <si>
    <t>7th Phase JP Nagar</t>
  </si>
  <si>
    <t>Kasavanhalli</t>
  </si>
  <si>
    <t>Rachenahalli</t>
  </si>
  <si>
    <t>Hoodi</t>
  </si>
  <si>
    <t>5 Bedroom</t>
  </si>
  <si>
    <t>Sarjapur  Road</t>
  </si>
  <si>
    <t>4 BHK</t>
  </si>
  <si>
    <t>Jakkur</t>
  </si>
  <si>
    <t>type_II</t>
  </si>
  <si>
    <t>Hebbal</t>
  </si>
  <si>
    <t>Subash Nagar</t>
  </si>
  <si>
    <t>Hoskote</t>
  </si>
  <si>
    <t>1 BHK</t>
  </si>
  <si>
    <t>Whitefield</t>
  </si>
  <si>
    <t>4 Bedroom</t>
  </si>
  <si>
    <t>M V Extenstion</t>
  </si>
  <si>
    <t>6 BHK</t>
  </si>
  <si>
    <t>asha township, off hennur road</t>
  </si>
  <si>
    <t>Hosa Road</t>
  </si>
  <si>
    <t>Ramamurthy Nagar</t>
  </si>
  <si>
    <t>Judicial Layout</t>
  </si>
  <si>
    <t>Kanakpura Road</t>
  </si>
  <si>
    <t>BTM 1st Stage</t>
  </si>
  <si>
    <t>Old Madras Road</t>
  </si>
  <si>
    <t>Kengeri</t>
  </si>
  <si>
    <t>Hebbal Kempapura</t>
  </si>
  <si>
    <t>Mysore Road</t>
  </si>
  <si>
    <t>Kumaraswami Layout</t>
  </si>
  <si>
    <t>NGR Layout</t>
  </si>
  <si>
    <t>1st Block BEL Layout</t>
  </si>
  <si>
    <t>Yeshwanthpur</t>
  </si>
  <si>
    <t>JP Nagar</t>
  </si>
  <si>
    <t>Kammasandra</t>
  </si>
  <si>
    <t>Gollahalli</t>
  </si>
  <si>
    <t>Laggere</t>
  </si>
  <si>
    <t>Electronic City Phase II</t>
  </si>
  <si>
    <t>Vasantha Vallabha Nagar</t>
  </si>
  <si>
    <t>Kudlu Gate</t>
  </si>
  <si>
    <t>Rajaji Nagar</t>
  </si>
  <si>
    <t>Bellandur</t>
  </si>
  <si>
    <t>Sahakara Nagar</t>
  </si>
  <si>
    <t>Gokula Extension</t>
  </si>
  <si>
    <t>Result</t>
  </si>
  <si>
    <t>another_way</t>
  </si>
  <si>
    <t>Col 1</t>
  </si>
  <si>
    <t>Col2</t>
  </si>
  <si>
    <t>Ford India</t>
  </si>
  <si>
    <t>Tesla</t>
  </si>
  <si>
    <t>Tata</t>
  </si>
  <si>
    <t>Ferrari</t>
  </si>
  <si>
    <t>Lamborghini</t>
  </si>
  <si>
    <t>Porsche</t>
  </si>
  <si>
    <t>Maruti Suzuki</t>
  </si>
  <si>
    <t>Renault</t>
  </si>
  <si>
    <t>Mahindra and Mahindra</t>
  </si>
  <si>
    <t>Hyundai India</t>
  </si>
  <si>
    <t>Honda India</t>
  </si>
  <si>
    <t>Endeavour</t>
  </si>
  <si>
    <t>Model X</t>
  </si>
  <si>
    <t>Safai</t>
  </si>
  <si>
    <t>F400</t>
  </si>
  <si>
    <t>Syder</t>
  </si>
  <si>
    <t>GT3</t>
  </si>
  <si>
    <t>Swift</t>
  </si>
  <si>
    <t>Duster</t>
  </si>
  <si>
    <t>Scorpio</t>
  </si>
  <si>
    <t>Verna</t>
  </si>
  <si>
    <t>Amaze</t>
  </si>
  <si>
    <t>Col 3</t>
  </si>
  <si>
    <t>Ford</t>
  </si>
  <si>
    <t>Maruti</t>
  </si>
  <si>
    <t>Mahindra</t>
  </si>
  <si>
    <t>Hyundai</t>
  </si>
  <si>
    <t>Honda</t>
  </si>
  <si>
    <t>Col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</si>
</sst>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/>
    <xf numFmtId="0" fontId="0" fillId="0" borderId="2" xfId="0" applyBorder="1"/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D92D7-B85A-4AF9-90BA-DEF94D8F1CFB}">
  <dimension ref="A1:M50"/>
  <sheetViews>
    <sheetView topLeftCell="E1" workbookViewId="0">
      <selection activeCell="E1" sqref="E1:K50"/>
    </sheetView>
  </sheetViews>
  <sheetFormatPr defaultRowHeight="14.5" x14ac:dyDescent="0.35"/>
  <cols>
    <col min="1" max="1" width="2.81640625" bestFit="1" customWidth="1"/>
    <col min="2" max="2" width="9.1796875" bestFit="1" customWidth="1"/>
    <col min="3" max="3" width="13.7265625" bestFit="1" customWidth="1"/>
    <col min="4" max="4" width="27.453125" bestFit="1" customWidth="1"/>
    <col min="5" max="5" width="10" bestFit="1" customWidth="1"/>
    <col min="6" max="6" width="8.81640625" bestFit="1" customWidth="1"/>
    <col min="13" max="13" width="11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K1" t="s">
        <v>65</v>
      </c>
      <c r="M1" t="s">
        <v>66</v>
      </c>
    </row>
    <row r="2" spans="1:13" x14ac:dyDescent="0.35">
      <c r="A2">
        <v>0</v>
      </c>
      <c r="B2" t="s">
        <v>9</v>
      </c>
      <c r="C2" t="s">
        <v>10</v>
      </c>
      <c r="D2" t="s">
        <v>11</v>
      </c>
      <c r="E2" t="s">
        <v>12</v>
      </c>
      <c r="F2">
        <v>1030</v>
      </c>
      <c r="G2">
        <v>2</v>
      </c>
      <c r="H2">
        <v>2</v>
      </c>
      <c r="I2" s="2">
        <v>77.25</v>
      </c>
      <c r="K2" t="str">
        <f>IF(G2=H2, "Found", "Not Found")</f>
        <v>Found</v>
      </c>
      <c r="M2">
        <f>IFERROR(VLOOKUP(H2,G2:$G$50, 1, 0), "Not Found")</f>
        <v>2</v>
      </c>
    </row>
    <row r="3" spans="1:13" x14ac:dyDescent="0.35">
      <c r="A3">
        <v>1</v>
      </c>
      <c r="B3" t="s">
        <v>9</v>
      </c>
      <c r="C3" t="s">
        <v>10</v>
      </c>
      <c r="D3" t="s">
        <v>13</v>
      </c>
      <c r="E3" t="s">
        <v>14</v>
      </c>
      <c r="F3">
        <v>1210</v>
      </c>
      <c r="G3">
        <v>2</v>
      </c>
      <c r="H3">
        <v>1</v>
      </c>
      <c r="I3" s="2">
        <v>83</v>
      </c>
      <c r="K3" t="str">
        <f t="shared" ref="K3:K50" si="0">IF(G3=H3, "Found", "Not Found")</f>
        <v>Not Found</v>
      </c>
      <c r="M3">
        <f>IFERROR(VLOOKUP(H3,G3:$G$50, 1, 0), "Not Found")</f>
        <v>1</v>
      </c>
    </row>
    <row r="4" spans="1:13" x14ac:dyDescent="0.35">
      <c r="A4">
        <v>2</v>
      </c>
      <c r="B4" t="s">
        <v>9</v>
      </c>
      <c r="C4" s="1">
        <v>45947</v>
      </c>
      <c r="D4" t="s">
        <v>15</v>
      </c>
      <c r="E4" t="s">
        <v>12</v>
      </c>
      <c r="F4">
        <v>1540</v>
      </c>
      <c r="G4">
        <v>3</v>
      </c>
      <c r="H4">
        <v>2</v>
      </c>
      <c r="I4" s="2">
        <v>48.51</v>
      </c>
      <c r="K4" t="str">
        <f t="shared" si="0"/>
        <v>Not Found</v>
      </c>
      <c r="M4">
        <f>IFERROR(VLOOKUP(H4,G4:$G$50, 1, 0), "Not Found")</f>
        <v>2</v>
      </c>
    </row>
    <row r="5" spans="1:13" x14ac:dyDescent="0.35">
      <c r="A5">
        <v>3</v>
      </c>
      <c r="B5" t="s">
        <v>9</v>
      </c>
      <c r="C5" t="s">
        <v>10</v>
      </c>
      <c r="D5" t="s">
        <v>16</v>
      </c>
      <c r="E5" t="s">
        <v>12</v>
      </c>
      <c r="F5">
        <v>1830</v>
      </c>
      <c r="G5">
        <v>4</v>
      </c>
      <c r="H5">
        <v>2</v>
      </c>
      <c r="I5" s="2">
        <v>135</v>
      </c>
      <c r="K5" t="str">
        <f t="shared" si="0"/>
        <v>Not Found</v>
      </c>
      <c r="M5">
        <f>IFERROR(VLOOKUP(H5,G5:$G$50, 1, 0), "Not Found")</f>
        <v>2</v>
      </c>
    </row>
    <row r="6" spans="1:13" x14ac:dyDescent="0.35">
      <c r="A6">
        <v>4</v>
      </c>
      <c r="B6" t="s">
        <v>17</v>
      </c>
      <c r="C6" t="s">
        <v>10</v>
      </c>
      <c r="D6" t="s">
        <v>18</v>
      </c>
      <c r="E6" t="s">
        <v>19</v>
      </c>
      <c r="G6">
        <v>2</v>
      </c>
      <c r="H6">
        <v>0</v>
      </c>
      <c r="I6" s="2">
        <v>80</v>
      </c>
      <c r="K6" t="str">
        <f t="shared" si="0"/>
        <v>Not Found</v>
      </c>
      <c r="M6" t="str">
        <f>IFERROR(VLOOKUP(H6,G6:$G$50, 1, 0), "Not Found")</f>
        <v>Not Found</v>
      </c>
    </row>
    <row r="7" spans="1:13" x14ac:dyDescent="0.35">
      <c r="A7">
        <v>5</v>
      </c>
      <c r="B7" t="s">
        <v>9</v>
      </c>
      <c r="C7" t="s">
        <v>10</v>
      </c>
      <c r="D7" t="s">
        <v>20</v>
      </c>
      <c r="E7" t="s">
        <v>12</v>
      </c>
      <c r="F7">
        <v>1614</v>
      </c>
      <c r="G7">
        <v>2</v>
      </c>
      <c r="H7">
        <v>2</v>
      </c>
      <c r="I7" s="2">
        <v>59</v>
      </c>
      <c r="K7" t="str">
        <f t="shared" si="0"/>
        <v>Found</v>
      </c>
      <c r="M7">
        <f>IFERROR(VLOOKUP(H7,G7:$G$50, 1, 0), "Not Found")</f>
        <v>2</v>
      </c>
    </row>
    <row r="8" spans="1:13" x14ac:dyDescent="0.35">
      <c r="A8">
        <v>6</v>
      </c>
      <c r="B8" t="s">
        <v>9</v>
      </c>
      <c r="C8" t="s">
        <v>10</v>
      </c>
      <c r="D8" t="s">
        <v>21</v>
      </c>
      <c r="E8" t="s">
        <v>14</v>
      </c>
      <c r="F8">
        <v>1270</v>
      </c>
      <c r="G8">
        <v>2</v>
      </c>
      <c r="H8">
        <v>2</v>
      </c>
      <c r="I8" s="2">
        <v>78</v>
      </c>
      <c r="K8" t="str">
        <f t="shared" si="0"/>
        <v>Found</v>
      </c>
      <c r="M8">
        <f>IFERROR(VLOOKUP(H8,G8:$G$50, 1, 0), "Not Found")</f>
        <v>2</v>
      </c>
    </row>
    <row r="9" spans="1:13" x14ac:dyDescent="0.35">
      <c r="A9">
        <v>7</v>
      </c>
      <c r="B9" t="s">
        <v>9</v>
      </c>
      <c r="C9" t="s">
        <v>10</v>
      </c>
      <c r="D9" t="s">
        <v>22</v>
      </c>
      <c r="E9" t="s">
        <v>14</v>
      </c>
      <c r="F9">
        <v>1325</v>
      </c>
      <c r="G9">
        <v>2</v>
      </c>
      <c r="H9">
        <v>2</v>
      </c>
      <c r="I9" s="2">
        <v>119</v>
      </c>
      <c r="K9" t="str">
        <f t="shared" si="0"/>
        <v>Found</v>
      </c>
      <c r="M9">
        <f>IFERROR(VLOOKUP(H9,G9:$G$50, 1, 0), "Not Found")</f>
        <v>2</v>
      </c>
    </row>
    <row r="10" spans="1:13" x14ac:dyDescent="0.35">
      <c r="A10">
        <v>8</v>
      </c>
      <c r="B10" t="s">
        <v>9</v>
      </c>
      <c r="C10" t="s">
        <v>10</v>
      </c>
      <c r="D10" t="s">
        <v>23</v>
      </c>
      <c r="E10" t="s">
        <v>14</v>
      </c>
      <c r="F10">
        <v>1035</v>
      </c>
      <c r="G10">
        <v>2</v>
      </c>
      <c r="H10">
        <v>1</v>
      </c>
      <c r="I10" s="2">
        <v>39.33</v>
      </c>
      <c r="K10" t="str">
        <f t="shared" si="0"/>
        <v>Not Found</v>
      </c>
      <c r="M10">
        <f>IFERROR(VLOOKUP(H10,G10:$G$50, 1, 0), "Not Found")</f>
        <v>1</v>
      </c>
    </row>
    <row r="11" spans="1:13" x14ac:dyDescent="0.35">
      <c r="A11">
        <v>9</v>
      </c>
      <c r="B11" t="s">
        <v>9</v>
      </c>
      <c r="C11" t="s">
        <v>10</v>
      </c>
      <c r="D11" t="s">
        <v>24</v>
      </c>
      <c r="E11" t="s">
        <v>14</v>
      </c>
      <c r="F11">
        <v>1230</v>
      </c>
      <c r="G11">
        <v>2</v>
      </c>
      <c r="H11">
        <v>2</v>
      </c>
      <c r="I11" s="2">
        <v>66.25</v>
      </c>
      <c r="K11" t="str">
        <f t="shared" si="0"/>
        <v>Found</v>
      </c>
      <c r="M11">
        <f>IFERROR(VLOOKUP(H11,G11:$G$50, 1, 0), "Not Found")</f>
        <v>2</v>
      </c>
    </row>
    <row r="12" spans="1:13" x14ac:dyDescent="0.35">
      <c r="A12">
        <v>10</v>
      </c>
      <c r="B12" t="s">
        <v>9</v>
      </c>
      <c r="C12" t="s">
        <v>10</v>
      </c>
      <c r="D12" t="s">
        <v>25</v>
      </c>
      <c r="E12" t="s">
        <v>14</v>
      </c>
      <c r="F12">
        <v>1200</v>
      </c>
      <c r="G12">
        <v>2</v>
      </c>
      <c r="H12">
        <v>2</v>
      </c>
      <c r="I12" s="2">
        <v>46.5</v>
      </c>
      <c r="K12" t="str">
        <f t="shared" si="0"/>
        <v>Found</v>
      </c>
      <c r="M12">
        <f>IFERROR(VLOOKUP(H12,G12:$G$50, 1, 0), "Not Found")</f>
        <v>2</v>
      </c>
    </row>
    <row r="13" spans="1:13" x14ac:dyDescent="0.35">
      <c r="A13">
        <v>11</v>
      </c>
      <c r="B13" t="s">
        <v>17</v>
      </c>
      <c r="C13" t="s">
        <v>10</v>
      </c>
      <c r="D13" t="s">
        <v>26</v>
      </c>
      <c r="E13" t="s">
        <v>27</v>
      </c>
      <c r="F13">
        <v>3250</v>
      </c>
      <c r="G13">
        <v>5</v>
      </c>
      <c r="H13">
        <v>2</v>
      </c>
      <c r="I13" s="2">
        <v>395</v>
      </c>
      <c r="K13" t="str">
        <f t="shared" si="0"/>
        <v>Not Found</v>
      </c>
      <c r="M13">
        <f>IFERROR(VLOOKUP(H13,G13:$G$50, 1, 0), "Not Found")</f>
        <v>2</v>
      </c>
    </row>
    <row r="14" spans="1:13" x14ac:dyDescent="0.35">
      <c r="A14">
        <v>12</v>
      </c>
      <c r="B14" t="s">
        <v>9</v>
      </c>
      <c r="C14" t="s">
        <v>10</v>
      </c>
      <c r="D14" t="s">
        <v>28</v>
      </c>
      <c r="E14" t="s">
        <v>29</v>
      </c>
      <c r="F14">
        <v>4395</v>
      </c>
      <c r="G14">
        <v>4</v>
      </c>
      <c r="H14">
        <v>2</v>
      </c>
      <c r="I14" s="2">
        <v>242</v>
      </c>
      <c r="K14" t="str">
        <f t="shared" si="0"/>
        <v>Not Found</v>
      </c>
      <c r="M14">
        <f>IFERROR(VLOOKUP(H14,G14:$G$50, 1, 0), "Not Found")</f>
        <v>2</v>
      </c>
    </row>
    <row r="15" spans="1:13" x14ac:dyDescent="0.35">
      <c r="A15">
        <v>13</v>
      </c>
      <c r="B15" t="s">
        <v>9</v>
      </c>
      <c r="C15" t="s">
        <v>10</v>
      </c>
      <c r="D15" t="s">
        <v>30</v>
      </c>
      <c r="E15" t="s">
        <v>12</v>
      </c>
      <c r="F15">
        <v>1650</v>
      </c>
      <c r="G15">
        <v>3</v>
      </c>
      <c r="H15">
        <v>2</v>
      </c>
      <c r="I15" s="2">
        <v>111</v>
      </c>
      <c r="K15" t="str">
        <f t="shared" si="0"/>
        <v>Not Found</v>
      </c>
      <c r="M15">
        <f>IFERROR(VLOOKUP(H15,G15:$G$50, 1, 0), "Not Found")</f>
        <v>2</v>
      </c>
    </row>
    <row r="16" spans="1:13" x14ac:dyDescent="0.35">
      <c r="A16">
        <v>14</v>
      </c>
      <c r="B16" t="s">
        <v>31</v>
      </c>
      <c r="C16" t="s">
        <v>10</v>
      </c>
      <c r="D16" t="s">
        <v>32</v>
      </c>
      <c r="E16" t="s">
        <v>14</v>
      </c>
      <c r="F16">
        <v>1053</v>
      </c>
      <c r="G16">
        <v>2</v>
      </c>
      <c r="H16">
        <v>1</v>
      </c>
      <c r="I16" s="2">
        <v>48</v>
      </c>
      <c r="K16" t="str">
        <f t="shared" si="0"/>
        <v>Not Found</v>
      </c>
      <c r="M16">
        <f>IFERROR(VLOOKUP(H16,G16:$G$50, 1, 0), "Not Found")</f>
        <v>1</v>
      </c>
    </row>
    <row r="17" spans="1:13" x14ac:dyDescent="0.35">
      <c r="A17">
        <v>15</v>
      </c>
      <c r="B17" t="s">
        <v>9</v>
      </c>
      <c r="C17" t="s">
        <v>10</v>
      </c>
      <c r="D17" t="s">
        <v>33</v>
      </c>
      <c r="E17" t="s">
        <v>14</v>
      </c>
      <c r="F17">
        <v>1150</v>
      </c>
      <c r="G17">
        <v>2</v>
      </c>
      <c r="H17">
        <v>2</v>
      </c>
      <c r="I17" s="2">
        <v>45</v>
      </c>
      <c r="K17" t="str">
        <f t="shared" si="0"/>
        <v>Found</v>
      </c>
      <c r="M17">
        <f>IFERROR(VLOOKUP(H17,G17:$G$50, 1, 0), "Not Found")</f>
        <v>2</v>
      </c>
    </row>
    <row r="18" spans="1:13" x14ac:dyDescent="0.35">
      <c r="A18">
        <v>16</v>
      </c>
      <c r="B18" t="s">
        <v>9</v>
      </c>
      <c r="C18" s="1">
        <v>45979</v>
      </c>
      <c r="D18" t="s">
        <v>34</v>
      </c>
      <c r="E18" t="s">
        <v>35</v>
      </c>
      <c r="F18">
        <v>509</v>
      </c>
      <c r="G18">
        <v>1</v>
      </c>
      <c r="H18">
        <v>1</v>
      </c>
      <c r="I18" s="2">
        <v>23</v>
      </c>
      <c r="K18" t="str">
        <f t="shared" si="0"/>
        <v>Found</v>
      </c>
      <c r="M18">
        <f>IFERROR(VLOOKUP(H18,G18:$G$50, 1, 0), "Not Found")</f>
        <v>1</v>
      </c>
    </row>
    <row r="19" spans="1:13" x14ac:dyDescent="0.35">
      <c r="A19">
        <v>17</v>
      </c>
      <c r="B19" t="s">
        <v>17</v>
      </c>
      <c r="C19" t="s">
        <v>10</v>
      </c>
      <c r="D19" t="s">
        <v>36</v>
      </c>
      <c r="E19" t="s">
        <v>37</v>
      </c>
      <c r="F19">
        <v>4400</v>
      </c>
      <c r="G19">
        <v>5</v>
      </c>
      <c r="H19">
        <v>2</v>
      </c>
      <c r="I19" s="2">
        <v>500</v>
      </c>
      <c r="K19" t="str">
        <f t="shared" si="0"/>
        <v>Not Found</v>
      </c>
      <c r="M19">
        <f>IFERROR(VLOOKUP(H19,G19:$G$50, 1, 0), "Not Found")</f>
        <v>2</v>
      </c>
    </row>
    <row r="20" spans="1:13" x14ac:dyDescent="0.35">
      <c r="A20">
        <v>18</v>
      </c>
      <c r="B20" t="s">
        <v>9</v>
      </c>
      <c r="C20" t="s">
        <v>10</v>
      </c>
      <c r="D20" t="s">
        <v>38</v>
      </c>
      <c r="E20" t="s">
        <v>39</v>
      </c>
      <c r="F20">
        <v>900</v>
      </c>
      <c r="G20">
        <v>5</v>
      </c>
      <c r="I20" s="2">
        <v>100</v>
      </c>
      <c r="K20" t="str">
        <f t="shared" si="0"/>
        <v>Not Found</v>
      </c>
      <c r="M20" t="str">
        <f>IFERROR(VLOOKUP(H20,G20:$G$50, 1, 0), "Not Found")</f>
        <v>Not Found</v>
      </c>
    </row>
    <row r="21" spans="1:13" x14ac:dyDescent="0.35">
      <c r="A21">
        <v>19</v>
      </c>
      <c r="B21" t="s">
        <v>17</v>
      </c>
      <c r="C21" s="1">
        <v>45795</v>
      </c>
      <c r="D21" t="s">
        <v>40</v>
      </c>
      <c r="E21" t="s">
        <v>27</v>
      </c>
      <c r="F21">
        <v>2400</v>
      </c>
      <c r="G21">
        <v>5</v>
      </c>
      <c r="H21">
        <v>3</v>
      </c>
      <c r="I21" s="2">
        <v>285</v>
      </c>
      <c r="K21" t="str">
        <f t="shared" si="0"/>
        <v>Not Found</v>
      </c>
      <c r="M21">
        <f>IFERROR(VLOOKUP(H21,G21:$G$50, 1, 0), "Not Found")</f>
        <v>3</v>
      </c>
    </row>
    <row r="22" spans="1:13" x14ac:dyDescent="0.35">
      <c r="A22">
        <v>20</v>
      </c>
      <c r="B22" t="s">
        <v>9</v>
      </c>
      <c r="C22" s="1">
        <v>45795</v>
      </c>
      <c r="D22" t="s">
        <v>41</v>
      </c>
      <c r="E22" t="s">
        <v>14</v>
      </c>
      <c r="F22">
        <v>1063</v>
      </c>
      <c r="G22">
        <v>2</v>
      </c>
      <c r="H22">
        <v>1</v>
      </c>
      <c r="I22" s="2">
        <v>31.9</v>
      </c>
      <c r="K22" t="str">
        <f t="shared" si="0"/>
        <v>Not Found</v>
      </c>
      <c r="M22">
        <f>IFERROR(VLOOKUP(H22,G22:$G$50, 1, 0), "Not Found")</f>
        <v>1</v>
      </c>
    </row>
    <row r="23" spans="1:13" x14ac:dyDescent="0.35">
      <c r="A23">
        <v>21</v>
      </c>
      <c r="B23" t="s">
        <v>31</v>
      </c>
      <c r="C23" t="s">
        <v>10</v>
      </c>
      <c r="D23" t="s">
        <v>42</v>
      </c>
      <c r="E23" t="s">
        <v>37</v>
      </c>
      <c r="F23">
        <v>900</v>
      </c>
      <c r="G23">
        <v>4</v>
      </c>
      <c r="H23">
        <v>1</v>
      </c>
      <c r="I23" s="2">
        <v>70</v>
      </c>
      <c r="K23" t="str">
        <f t="shared" si="0"/>
        <v>Not Found</v>
      </c>
      <c r="M23">
        <f>IFERROR(VLOOKUP(H23,G23:$G$50, 1, 0), "Not Found")</f>
        <v>1</v>
      </c>
    </row>
    <row r="24" spans="1:13" x14ac:dyDescent="0.35">
      <c r="A24">
        <v>22</v>
      </c>
      <c r="B24" t="s">
        <v>9</v>
      </c>
      <c r="C24" s="1">
        <v>46011</v>
      </c>
      <c r="D24" t="s">
        <v>43</v>
      </c>
      <c r="E24" t="s">
        <v>14</v>
      </c>
      <c r="F24">
        <v>900</v>
      </c>
      <c r="G24">
        <v>2</v>
      </c>
      <c r="H24">
        <v>1</v>
      </c>
      <c r="I24" s="2">
        <v>40</v>
      </c>
      <c r="K24" t="str">
        <f t="shared" si="0"/>
        <v>Not Found</v>
      </c>
      <c r="M24">
        <f>IFERROR(VLOOKUP(H24,G24:$G$50, 1, 0), "Not Found")</f>
        <v>1</v>
      </c>
    </row>
    <row r="25" spans="1:13" x14ac:dyDescent="0.35">
      <c r="A25">
        <v>23</v>
      </c>
      <c r="B25" t="s">
        <v>9</v>
      </c>
      <c r="C25" t="s">
        <v>10</v>
      </c>
      <c r="D25" t="s">
        <v>44</v>
      </c>
      <c r="E25" t="s">
        <v>12</v>
      </c>
      <c r="F25">
        <v>1550</v>
      </c>
      <c r="G25">
        <v>3</v>
      </c>
      <c r="H25">
        <v>3</v>
      </c>
      <c r="I25" s="2">
        <v>65.11</v>
      </c>
      <c r="K25" t="str">
        <f t="shared" si="0"/>
        <v>Found</v>
      </c>
      <c r="M25">
        <f>IFERROR(VLOOKUP(H25,G25:$G$50, 1, 0), "Not Found")</f>
        <v>3</v>
      </c>
    </row>
    <row r="26" spans="1:13" x14ac:dyDescent="0.35">
      <c r="A26">
        <v>24</v>
      </c>
      <c r="B26" t="s">
        <v>9</v>
      </c>
      <c r="C26" t="s">
        <v>10</v>
      </c>
      <c r="D26" t="s">
        <v>45</v>
      </c>
      <c r="E26" t="s">
        <v>12</v>
      </c>
      <c r="F26">
        <v>1852</v>
      </c>
      <c r="G26">
        <v>2</v>
      </c>
      <c r="I26" s="2">
        <v>95</v>
      </c>
      <c r="K26" t="str">
        <f t="shared" si="0"/>
        <v>Not Found</v>
      </c>
      <c r="M26" t="str">
        <f>IFERROR(VLOOKUP(H26,G26:$G$50, 1, 0), "Not Found")</f>
        <v>Not Found</v>
      </c>
    </row>
    <row r="27" spans="1:13" x14ac:dyDescent="0.35">
      <c r="A27">
        <v>25</v>
      </c>
      <c r="B27" t="s">
        <v>9</v>
      </c>
      <c r="C27" t="s">
        <v>10</v>
      </c>
      <c r="D27" t="s">
        <v>23</v>
      </c>
      <c r="E27" t="s">
        <v>12</v>
      </c>
      <c r="F27">
        <v>1370</v>
      </c>
      <c r="G27">
        <v>2</v>
      </c>
      <c r="H27">
        <v>2</v>
      </c>
      <c r="I27" s="2">
        <v>54.79</v>
      </c>
      <c r="K27" t="str">
        <f t="shared" si="0"/>
        <v>Found</v>
      </c>
      <c r="M27">
        <f>IFERROR(VLOOKUP(H27,G27:$G$50, 1, 0), "Not Found")</f>
        <v>2</v>
      </c>
    </row>
    <row r="28" spans="1:13" x14ac:dyDescent="0.35">
      <c r="A28">
        <v>26</v>
      </c>
      <c r="B28" t="s">
        <v>9</v>
      </c>
      <c r="C28" s="1">
        <v>45765</v>
      </c>
      <c r="D28" t="s">
        <v>46</v>
      </c>
      <c r="E28" t="s">
        <v>14</v>
      </c>
      <c r="F28">
        <v>1171</v>
      </c>
      <c r="G28">
        <v>2</v>
      </c>
      <c r="H28">
        <v>2</v>
      </c>
      <c r="I28" s="2">
        <v>73</v>
      </c>
      <c r="K28" t="str">
        <f t="shared" si="0"/>
        <v>Found</v>
      </c>
      <c r="M28">
        <f>IFERROR(VLOOKUP(H28,G28:$G$50, 1, 0), "Not Found")</f>
        <v>2</v>
      </c>
    </row>
    <row r="29" spans="1:13" x14ac:dyDescent="0.35">
      <c r="A29">
        <v>27</v>
      </c>
      <c r="B29" t="s">
        <v>31</v>
      </c>
      <c r="C29" t="s">
        <v>10</v>
      </c>
      <c r="D29" t="s">
        <v>47</v>
      </c>
      <c r="E29" t="s">
        <v>12</v>
      </c>
      <c r="F29">
        <v>1436</v>
      </c>
      <c r="G29">
        <v>2</v>
      </c>
      <c r="H29">
        <v>2</v>
      </c>
      <c r="I29" s="2">
        <v>55</v>
      </c>
      <c r="K29" t="str">
        <f t="shared" si="0"/>
        <v>Found</v>
      </c>
      <c r="M29">
        <f>IFERROR(VLOOKUP(H29,G29:$G$50, 1, 0), "Not Found")</f>
        <v>2</v>
      </c>
    </row>
    <row r="30" spans="1:13" x14ac:dyDescent="0.35">
      <c r="A30">
        <v>28</v>
      </c>
      <c r="B30" t="s">
        <v>17</v>
      </c>
      <c r="C30" t="s">
        <v>10</v>
      </c>
      <c r="D30" t="s">
        <v>48</v>
      </c>
      <c r="E30" t="s">
        <v>27</v>
      </c>
      <c r="F30">
        <v>2400</v>
      </c>
      <c r="G30">
        <v>5</v>
      </c>
      <c r="H30">
        <v>2</v>
      </c>
      <c r="I30" s="2">
        <v>200</v>
      </c>
      <c r="K30" t="str">
        <f t="shared" si="0"/>
        <v>Not Found</v>
      </c>
      <c r="M30">
        <f>IFERROR(VLOOKUP(H30,G30:$G$50, 1, 0), "Not Found")</f>
        <v>2</v>
      </c>
    </row>
    <row r="31" spans="1:13" x14ac:dyDescent="0.35">
      <c r="A31">
        <v>29</v>
      </c>
      <c r="B31" t="s">
        <v>9</v>
      </c>
      <c r="C31" t="s">
        <v>10</v>
      </c>
      <c r="D31" t="s">
        <v>49</v>
      </c>
      <c r="E31" t="s">
        <v>14</v>
      </c>
      <c r="F31">
        <v>883</v>
      </c>
      <c r="G31">
        <v>2</v>
      </c>
      <c r="H31">
        <v>1</v>
      </c>
      <c r="I31" s="2">
        <v>40</v>
      </c>
      <c r="K31" t="str">
        <f t="shared" si="0"/>
        <v>Not Found</v>
      </c>
      <c r="M31">
        <f>IFERROR(VLOOKUP(H31,G31:$G$50, 1, 0), "Not Found")</f>
        <v>1</v>
      </c>
    </row>
    <row r="32" spans="1:13" x14ac:dyDescent="0.35">
      <c r="A32">
        <v>30</v>
      </c>
      <c r="B32" t="s">
        <v>9</v>
      </c>
      <c r="C32" t="s">
        <v>10</v>
      </c>
      <c r="D32" t="s">
        <v>50</v>
      </c>
      <c r="E32" t="s">
        <v>14</v>
      </c>
      <c r="F32">
        <v>1000</v>
      </c>
      <c r="G32">
        <v>2</v>
      </c>
      <c r="H32">
        <v>1</v>
      </c>
      <c r="I32" s="2">
        <v>58</v>
      </c>
      <c r="K32" t="str">
        <f t="shared" si="0"/>
        <v>Not Found</v>
      </c>
      <c r="M32">
        <f>IFERROR(VLOOKUP(H32,G32:$G$50, 1, 0), "Not Found")</f>
        <v>1</v>
      </c>
    </row>
    <row r="33" spans="1:13" x14ac:dyDescent="0.35">
      <c r="A33">
        <v>31</v>
      </c>
      <c r="B33" t="s">
        <v>9</v>
      </c>
      <c r="C33" t="s">
        <v>10</v>
      </c>
      <c r="D33" t="s">
        <v>51</v>
      </c>
      <c r="E33" t="s">
        <v>35</v>
      </c>
      <c r="F33">
        <v>907</v>
      </c>
      <c r="G33">
        <v>1</v>
      </c>
      <c r="H33">
        <v>1</v>
      </c>
      <c r="I33" s="2">
        <v>38</v>
      </c>
      <c r="K33" t="str">
        <f t="shared" si="0"/>
        <v>Found</v>
      </c>
      <c r="M33">
        <f>IFERROR(VLOOKUP(H33,G33:$G$50, 1, 0), "Not Found")</f>
        <v>1</v>
      </c>
    </row>
    <row r="34" spans="1:13" x14ac:dyDescent="0.35">
      <c r="A34">
        <v>32</v>
      </c>
      <c r="B34" t="s">
        <v>9</v>
      </c>
      <c r="C34" t="s">
        <v>10</v>
      </c>
      <c r="D34" t="s">
        <v>52</v>
      </c>
      <c r="E34" t="s">
        <v>12</v>
      </c>
      <c r="F34">
        <v>1540</v>
      </c>
      <c r="G34">
        <v>3</v>
      </c>
      <c r="H34">
        <v>2</v>
      </c>
      <c r="I34" s="2">
        <v>85</v>
      </c>
      <c r="K34" t="str">
        <f t="shared" si="0"/>
        <v>Not Found</v>
      </c>
      <c r="M34">
        <f>IFERROR(VLOOKUP(H34,G34:$G$50, 1, 0), "Not Found")</f>
        <v>2</v>
      </c>
    </row>
    <row r="35" spans="1:13" x14ac:dyDescent="0.35">
      <c r="A35">
        <v>33</v>
      </c>
      <c r="B35" t="s">
        <v>9</v>
      </c>
      <c r="C35" s="1">
        <v>46010</v>
      </c>
      <c r="D35" t="s">
        <v>26</v>
      </c>
      <c r="E35" t="s">
        <v>12</v>
      </c>
      <c r="F35">
        <v>1746</v>
      </c>
      <c r="G35">
        <v>3</v>
      </c>
      <c r="H35">
        <v>3</v>
      </c>
      <c r="I35" s="2">
        <v>84.95</v>
      </c>
      <c r="K35" t="str">
        <f t="shared" si="0"/>
        <v>Found</v>
      </c>
      <c r="M35">
        <f>IFERROR(VLOOKUP(H35,G35:$G$50, 1, 0), "Not Found")</f>
        <v>3</v>
      </c>
    </row>
    <row r="36" spans="1:13" x14ac:dyDescent="0.35">
      <c r="A36">
        <v>34</v>
      </c>
      <c r="B36" t="s">
        <v>9</v>
      </c>
      <c r="C36" t="s">
        <v>10</v>
      </c>
      <c r="D36" t="s">
        <v>53</v>
      </c>
      <c r="E36" t="s">
        <v>14</v>
      </c>
      <c r="F36">
        <v>1169</v>
      </c>
      <c r="G36">
        <v>2</v>
      </c>
      <c r="H36">
        <v>2</v>
      </c>
      <c r="I36" s="2">
        <v>64.08</v>
      </c>
      <c r="K36" t="str">
        <f t="shared" si="0"/>
        <v>Found</v>
      </c>
      <c r="M36">
        <f>IFERROR(VLOOKUP(H36,G36:$G$50, 1, 0), "Not Found")</f>
        <v>2</v>
      </c>
    </row>
    <row r="37" spans="1:13" x14ac:dyDescent="0.35">
      <c r="A37">
        <v>35</v>
      </c>
      <c r="B37" t="s">
        <v>9</v>
      </c>
      <c r="C37" s="1">
        <v>46010</v>
      </c>
      <c r="D37" t="s">
        <v>54</v>
      </c>
      <c r="E37" t="s">
        <v>14</v>
      </c>
      <c r="F37">
        <v>1300</v>
      </c>
      <c r="G37">
        <v>2</v>
      </c>
      <c r="H37">
        <v>1</v>
      </c>
      <c r="I37" s="2">
        <v>91.65</v>
      </c>
      <c r="K37" t="str">
        <f t="shared" si="0"/>
        <v>Not Found</v>
      </c>
      <c r="M37">
        <f>IFERROR(VLOOKUP(H37,G37:$G$50, 1, 0), "Not Found")</f>
        <v>1</v>
      </c>
    </row>
    <row r="38" spans="1:13" x14ac:dyDescent="0.35">
      <c r="A38">
        <v>36</v>
      </c>
      <c r="B38" t="s">
        <v>31</v>
      </c>
      <c r="C38" t="s">
        <v>10</v>
      </c>
      <c r="D38" t="s">
        <v>55</v>
      </c>
      <c r="E38" t="s">
        <v>14</v>
      </c>
      <c r="F38">
        <v>990</v>
      </c>
      <c r="G38">
        <v>2</v>
      </c>
      <c r="H38">
        <v>1</v>
      </c>
      <c r="I38" s="2">
        <v>31.5</v>
      </c>
      <c r="K38" t="str">
        <f t="shared" si="0"/>
        <v>Not Found</v>
      </c>
      <c r="M38">
        <f>IFERROR(VLOOKUP(H38,G38:$G$50, 1, 0), "Not Found")</f>
        <v>1</v>
      </c>
    </row>
    <row r="39" spans="1:13" x14ac:dyDescent="0.35">
      <c r="A39">
        <v>37</v>
      </c>
      <c r="B39" t="s">
        <v>9</v>
      </c>
      <c r="C39" t="s">
        <v>10</v>
      </c>
      <c r="D39" t="s">
        <v>56</v>
      </c>
      <c r="E39" t="s">
        <v>14</v>
      </c>
      <c r="F39">
        <v>1395</v>
      </c>
      <c r="G39">
        <v>2</v>
      </c>
      <c r="H39">
        <v>1</v>
      </c>
      <c r="I39" s="2">
        <v>63.59</v>
      </c>
      <c r="K39" t="str">
        <f t="shared" si="0"/>
        <v>Not Found</v>
      </c>
      <c r="M39">
        <f>IFERROR(VLOOKUP(H39,G39:$G$50, 1, 0), "Not Found")</f>
        <v>1</v>
      </c>
    </row>
    <row r="40" spans="1:13" x14ac:dyDescent="0.35">
      <c r="A40">
        <v>38</v>
      </c>
      <c r="B40" t="s">
        <v>17</v>
      </c>
      <c r="C40" t="s">
        <v>10</v>
      </c>
      <c r="D40" t="s">
        <v>57</v>
      </c>
      <c r="E40" t="s">
        <v>27</v>
      </c>
      <c r="F40">
        <v>2800</v>
      </c>
      <c r="G40">
        <v>5</v>
      </c>
      <c r="H40">
        <v>2</v>
      </c>
      <c r="I40" s="2">
        <v>125</v>
      </c>
      <c r="K40" t="str">
        <f t="shared" si="0"/>
        <v>Not Found</v>
      </c>
      <c r="M40">
        <f>IFERROR(VLOOKUP(H40,G40:$G$50, 1, 0), "Not Found")</f>
        <v>2</v>
      </c>
    </row>
    <row r="41" spans="1:13" x14ac:dyDescent="0.35">
      <c r="A41">
        <v>39</v>
      </c>
      <c r="B41" t="s">
        <v>9</v>
      </c>
      <c r="C41" s="1">
        <v>45795</v>
      </c>
      <c r="D41" t="s">
        <v>58</v>
      </c>
      <c r="E41" t="s">
        <v>14</v>
      </c>
      <c r="F41">
        <v>1160</v>
      </c>
      <c r="G41">
        <v>2</v>
      </c>
      <c r="H41">
        <v>1</v>
      </c>
      <c r="I41" s="2">
        <v>52.2</v>
      </c>
      <c r="K41" t="str">
        <f t="shared" si="0"/>
        <v>Not Found</v>
      </c>
      <c r="M41">
        <f>IFERROR(VLOOKUP(H41,G41:$G$50, 1, 0), "Not Found")</f>
        <v>1</v>
      </c>
    </row>
    <row r="42" spans="1:13" x14ac:dyDescent="0.35">
      <c r="A42">
        <v>40</v>
      </c>
      <c r="B42" t="s">
        <v>9</v>
      </c>
      <c r="C42" s="1">
        <v>45857</v>
      </c>
      <c r="D42" t="s">
        <v>44</v>
      </c>
      <c r="E42" t="s">
        <v>12</v>
      </c>
      <c r="F42">
        <v>1593</v>
      </c>
      <c r="G42">
        <v>3</v>
      </c>
      <c r="H42">
        <v>1</v>
      </c>
      <c r="I42" s="2">
        <v>118</v>
      </c>
      <c r="K42" t="str">
        <f t="shared" si="0"/>
        <v>Not Found</v>
      </c>
      <c r="M42">
        <f>IFERROR(VLOOKUP(H42,G42:$G$50, 1, 0), "Not Found")</f>
        <v>1</v>
      </c>
    </row>
    <row r="43" spans="1:13" x14ac:dyDescent="0.35">
      <c r="A43">
        <v>41</v>
      </c>
      <c r="B43" t="s">
        <v>9</v>
      </c>
      <c r="C43" t="s">
        <v>10</v>
      </c>
      <c r="D43" t="s">
        <v>47</v>
      </c>
      <c r="E43" t="s">
        <v>35</v>
      </c>
      <c r="F43">
        <v>1200</v>
      </c>
      <c r="G43">
        <v>1</v>
      </c>
      <c r="H43">
        <v>1</v>
      </c>
      <c r="I43" s="2">
        <v>14</v>
      </c>
      <c r="K43" t="str">
        <f t="shared" si="0"/>
        <v>Found</v>
      </c>
      <c r="M43">
        <f>IFERROR(VLOOKUP(H43,G43:$G$50, 1, 0), "Not Found")</f>
        <v>1</v>
      </c>
    </row>
    <row r="44" spans="1:13" x14ac:dyDescent="0.35">
      <c r="A44">
        <v>42</v>
      </c>
      <c r="B44" t="s">
        <v>31</v>
      </c>
      <c r="C44" t="s">
        <v>10</v>
      </c>
      <c r="D44" t="s">
        <v>59</v>
      </c>
      <c r="E44" t="s">
        <v>14</v>
      </c>
      <c r="F44">
        <v>900</v>
      </c>
      <c r="G44">
        <v>1</v>
      </c>
      <c r="H44">
        <v>1</v>
      </c>
      <c r="I44" s="2">
        <v>44</v>
      </c>
      <c r="K44" t="str">
        <f t="shared" si="0"/>
        <v>Found</v>
      </c>
      <c r="M44">
        <f>IFERROR(VLOOKUP(H44,G44:$G$50, 1, 0), "Not Found")</f>
        <v>1</v>
      </c>
    </row>
    <row r="45" spans="1:13" x14ac:dyDescent="0.35">
      <c r="A45">
        <v>43</v>
      </c>
      <c r="B45" t="s">
        <v>9</v>
      </c>
      <c r="C45" t="s">
        <v>10</v>
      </c>
      <c r="D45" t="s">
        <v>60</v>
      </c>
      <c r="E45" t="s">
        <v>12</v>
      </c>
      <c r="F45">
        <v>1465</v>
      </c>
      <c r="G45">
        <v>2</v>
      </c>
      <c r="H45">
        <v>2</v>
      </c>
      <c r="I45" s="2">
        <v>49.81</v>
      </c>
      <c r="K45" t="str">
        <f t="shared" si="0"/>
        <v>Found</v>
      </c>
      <c r="M45">
        <f>IFERROR(VLOOKUP(H45,G45:$G$50, 1, 0), "Not Found")</f>
        <v>2</v>
      </c>
    </row>
    <row r="46" spans="1:13" x14ac:dyDescent="0.35">
      <c r="A46">
        <v>44</v>
      </c>
      <c r="B46" t="s">
        <v>17</v>
      </c>
      <c r="C46" t="s">
        <v>10</v>
      </c>
      <c r="D46" t="s">
        <v>36</v>
      </c>
      <c r="E46" t="s">
        <v>37</v>
      </c>
      <c r="F46">
        <v>2000</v>
      </c>
      <c r="G46">
        <v>4</v>
      </c>
      <c r="H46">
        <v>1</v>
      </c>
      <c r="I46" s="2">
        <v>312</v>
      </c>
      <c r="K46" t="str">
        <f t="shared" si="0"/>
        <v>Not Found</v>
      </c>
      <c r="M46" t="str">
        <f>IFERROR(VLOOKUP(H46,G46:$G$50, 1, 0), "Not Found")</f>
        <v>Not Found</v>
      </c>
    </row>
    <row r="47" spans="1:13" x14ac:dyDescent="0.35">
      <c r="A47">
        <v>45</v>
      </c>
      <c r="B47" t="s">
        <v>9</v>
      </c>
      <c r="C47" s="1">
        <v>45887</v>
      </c>
      <c r="D47" t="s">
        <v>61</v>
      </c>
      <c r="E47" t="s">
        <v>14</v>
      </c>
      <c r="F47">
        <v>1268</v>
      </c>
      <c r="G47">
        <v>2</v>
      </c>
      <c r="H47">
        <v>1</v>
      </c>
      <c r="I47" s="2">
        <v>127</v>
      </c>
      <c r="K47" t="str">
        <f t="shared" si="0"/>
        <v>Not Found</v>
      </c>
      <c r="M47" t="str">
        <f>IFERROR(VLOOKUP(H47,G47:$G$50, 1, 0), "Not Found")</f>
        <v>Not Found</v>
      </c>
    </row>
    <row r="48" spans="1:13" x14ac:dyDescent="0.35">
      <c r="A48">
        <v>46</v>
      </c>
      <c r="B48" t="s">
        <v>9</v>
      </c>
      <c r="C48" t="s">
        <v>10</v>
      </c>
      <c r="D48" t="s">
        <v>62</v>
      </c>
      <c r="E48" t="s">
        <v>12</v>
      </c>
      <c r="F48">
        <v>1830</v>
      </c>
      <c r="G48">
        <v>3</v>
      </c>
      <c r="H48">
        <v>3</v>
      </c>
      <c r="I48" s="2">
        <v>89.89</v>
      </c>
      <c r="K48" t="str">
        <f t="shared" si="0"/>
        <v>Found</v>
      </c>
      <c r="M48">
        <f>IFERROR(VLOOKUP(H48,G48:$G$50, 1, 0), "Not Found")</f>
        <v>3</v>
      </c>
    </row>
    <row r="49" spans="1:13" x14ac:dyDescent="0.35">
      <c r="A49">
        <v>47</v>
      </c>
      <c r="B49" t="s">
        <v>9</v>
      </c>
      <c r="C49" t="s">
        <v>10</v>
      </c>
      <c r="D49" t="s">
        <v>63</v>
      </c>
      <c r="E49" t="s">
        <v>14</v>
      </c>
      <c r="F49">
        <v>1200</v>
      </c>
      <c r="G49">
        <v>2</v>
      </c>
      <c r="H49">
        <v>1</v>
      </c>
      <c r="I49" s="2">
        <v>54</v>
      </c>
      <c r="K49" t="str">
        <f t="shared" si="0"/>
        <v>Not Found</v>
      </c>
      <c r="M49" t="str">
        <f>IFERROR(VLOOKUP(H49,G49:$G$50, 1, 0), "Not Found")</f>
        <v>Not Found</v>
      </c>
    </row>
    <row r="50" spans="1:13" x14ac:dyDescent="0.35">
      <c r="A50">
        <v>48</v>
      </c>
      <c r="B50" t="s">
        <v>9</v>
      </c>
      <c r="C50" t="s">
        <v>10</v>
      </c>
      <c r="D50" t="s">
        <v>64</v>
      </c>
      <c r="E50" t="s">
        <v>12</v>
      </c>
      <c r="F50">
        <v>1400</v>
      </c>
      <c r="G50">
        <v>3</v>
      </c>
      <c r="H50">
        <v>2</v>
      </c>
      <c r="I50" s="2">
        <v>90</v>
      </c>
      <c r="K50" t="str">
        <f t="shared" si="0"/>
        <v>Not Found</v>
      </c>
      <c r="M50" t="str">
        <f>IFERROR(VLOOKUP(H50,G50:$G$50, 1, 0), "Not Found")</f>
        <v>Not Found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2839-9892-4F41-BF29-93D0159FA541}">
  <dimension ref="A1:E13"/>
  <sheetViews>
    <sheetView workbookViewId="0">
      <selection activeCell="G8" sqref="G8"/>
    </sheetView>
  </sheetViews>
  <sheetFormatPr defaultRowHeight="14.5" x14ac:dyDescent="0.35"/>
  <cols>
    <col min="1" max="1" width="21.54296875" bestFit="1" customWidth="1"/>
    <col min="2" max="2" width="9.81640625" bestFit="1" customWidth="1"/>
    <col min="4" max="4" width="11.1796875" bestFit="1" customWidth="1"/>
    <col min="5" max="5" width="21.54296875" bestFit="1" customWidth="1"/>
  </cols>
  <sheetData>
    <row r="1" spans="1:5" ht="16.5" thickTop="1" thickBot="1" x14ac:dyDescent="0.4">
      <c r="A1" s="3" t="s">
        <v>67</v>
      </c>
      <c r="B1" s="5" t="s">
        <v>68</v>
      </c>
      <c r="D1" s="7" t="s">
        <v>91</v>
      </c>
      <c r="E1" s="7" t="s">
        <v>97</v>
      </c>
    </row>
    <row r="2" spans="1:5" ht="15.5" thickTop="1" thickBot="1" x14ac:dyDescent="0.4">
      <c r="A2" s="4" t="s">
        <v>69</v>
      </c>
      <c r="B2" s="6" t="s">
        <v>80</v>
      </c>
      <c r="D2" s="8" t="s">
        <v>92</v>
      </c>
      <c r="E2" s="8" t="str">
        <f>VLOOKUP(D2&amp;"*",$A$2:$A$12, 1, 0)</f>
        <v>Ford India</v>
      </c>
    </row>
    <row r="3" spans="1:5" ht="15.5" thickTop="1" thickBot="1" x14ac:dyDescent="0.4">
      <c r="A3" s="4" t="s">
        <v>70</v>
      </c>
      <c r="B3" s="6" t="s">
        <v>81</v>
      </c>
      <c r="D3" s="8" t="s">
        <v>70</v>
      </c>
      <c r="E3" s="8" t="str">
        <f t="shared" ref="E3:E12" si="0">VLOOKUP(D3&amp;"*",$A$2:$A$12, 1, 0)</f>
        <v>Tesla</v>
      </c>
    </row>
    <row r="4" spans="1:5" ht="15.5" thickTop="1" thickBot="1" x14ac:dyDescent="0.4">
      <c r="A4" s="4" t="s">
        <v>71</v>
      </c>
      <c r="B4" s="6" t="s">
        <v>82</v>
      </c>
      <c r="D4" s="8" t="s">
        <v>71</v>
      </c>
      <c r="E4" s="8" t="str">
        <f t="shared" si="0"/>
        <v>Tata</v>
      </c>
    </row>
    <row r="5" spans="1:5" ht="15.5" thickTop="1" thickBot="1" x14ac:dyDescent="0.4">
      <c r="A5" s="4" t="s">
        <v>72</v>
      </c>
      <c r="B5" s="6" t="s">
        <v>83</v>
      </c>
      <c r="D5" s="8" t="s">
        <v>72</v>
      </c>
      <c r="E5" s="8" t="str">
        <f t="shared" si="0"/>
        <v>Ferrari</v>
      </c>
    </row>
    <row r="6" spans="1:5" ht="15.5" thickTop="1" thickBot="1" x14ac:dyDescent="0.4">
      <c r="A6" s="4" t="s">
        <v>73</v>
      </c>
      <c r="B6" s="6" t="s">
        <v>84</v>
      </c>
      <c r="D6" s="8" t="s">
        <v>73</v>
      </c>
      <c r="E6" s="8" t="str">
        <f t="shared" si="0"/>
        <v>Lamborghini</v>
      </c>
    </row>
    <row r="7" spans="1:5" ht="15.5" thickTop="1" thickBot="1" x14ac:dyDescent="0.4">
      <c r="A7" s="4" t="s">
        <v>74</v>
      </c>
      <c r="B7" s="6" t="s">
        <v>85</v>
      </c>
      <c r="D7" s="8" t="s">
        <v>74</v>
      </c>
      <c r="E7" s="8" t="str">
        <f t="shared" si="0"/>
        <v>Porsche</v>
      </c>
    </row>
    <row r="8" spans="1:5" ht="15.5" thickTop="1" thickBot="1" x14ac:dyDescent="0.4">
      <c r="A8" s="4" t="s">
        <v>75</v>
      </c>
      <c r="B8" s="6" t="s">
        <v>86</v>
      </c>
      <c r="D8" s="8" t="s">
        <v>93</v>
      </c>
      <c r="E8" s="8" t="str">
        <f t="shared" si="0"/>
        <v>Maruti Suzuki</v>
      </c>
    </row>
    <row r="9" spans="1:5" ht="15.5" thickTop="1" thickBot="1" x14ac:dyDescent="0.4">
      <c r="A9" s="4" t="s">
        <v>76</v>
      </c>
      <c r="B9" s="6" t="s">
        <v>87</v>
      </c>
      <c r="D9" s="8" t="s">
        <v>76</v>
      </c>
      <c r="E9" s="8" t="str">
        <f t="shared" si="0"/>
        <v>Renault</v>
      </c>
    </row>
    <row r="10" spans="1:5" ht="15.5" thickTop="1" thickBot="1" x14ac:dyDescent="0.4">
      <c r="A10" s="4" t="s">
        <v>77</v>
      </c>
      <c r="B10" s="6" t="s">
        <v>88</v>
      </c>
      <c r="D10" s="8" t="s">
        <v>94</v>
      </c>
      <c r="E10" s="8" t="str">
        <f t="shared" si="0"/>
        <v>Mahindra and Mahindra</v>
      </c>
    </row>
    <row r="11" spans="1:5" ht="15.5" thickTop="1" thickBot="1" x14ac:dyDescent="0.4">
      <c r="A11" s="4" t="s">
        <v>78</v>
      </c>
      <c r="B11" s="6" t="s">
        <v>89</v>
      </c>
      <c r="D11" s="8" t="s">
        <v>95</v>
      </c>
      <c r="E11" s="8" t="str">
        <f t="shared" si="0"/>
        <v>Hyundai India</v>
      </c>
    </row>
    <row r="12" spans="1:5" ht="15.5" thickTop="1" thickBot="1" x14ac:dyDescent="0.4">
      <c r="A12" s="4" t="s">
        <v>79</v>
      </c>
      <c r="B12" s="6" t="s">
        <v>90</v>
      </c>
      <c r="D12" s="8" t="s">
        <v>96</v>
      </c>
      <c r="E12" s="8" t="str">
        <f t="shared" si="0"/>
        <v>Honda India</v>
      </c>
    </row>
    <row r="13" spans="1:5" ht="15" thickTop="1" x14ac:dyDescent="0.3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F6817-A8CD-48AA-BAEF-E86814D9A950}">
  <dimension ref="A1:BE50"/>
  <sheetViews>
    <sheetView topLeftCell="A26" workbookViewId="0">
      <selection sqref="A1:E50"/>
    </sheetView>
  </sheetViews>
  <sheetFormatPr defaultRowHeight="14.5" x14ac:dyDescent="0.35"/>
  <cols>
    <col min="1" max="1" width="10" bestFit="1" customWidth="1"/>
    <col min="2" max="2" width="8.81640625" bestFit="1" customWidth="1"/>
    <col min="3" max="3" width="4.6328125" bestFit="1" customWidth="1"/>
    <col min="4" max="4" width="7.26953125" bestFit="1" customWidth="1"/>
    <col min="5" max="5" width="7.81640625" bestFit="1" customWidth="1"/>
  </cols>
  <sheetData>
    <row r="1" spans="1:57" x14ac:dyDescent="0.35">
      <c r="A1" s="9" t="s">
        <v>4</v>
      </c>
      <c r="B1" s="9" t="s">
        <v>5</v>
      </c>
      <c r="C1" s="9" t="s">
        <v>6</v>
      </c>
      <c r="D1" s="9" t="s">
        <v>7</v>
      </c>
      <c r="E1" s="10" t="s">
        <v>8</v>
      </c>
      <c r="F1" s="9"/>
      <c r="H1" s="9" t="s">
        <v>4</v>
      </c>
      <c r="I1" t="s">
        <v>12</v>
      </c>
      <c r="J1" t="s">
        <v>14</v>
      </c>
      <c r="K1" t="s">
        <v>12</v>
      </c>
      <c r="L1" t="s">
        <v>12</v>
      </c>
      <c r="M1" t="s">
        <v>19</v>
      </c>
      <c r="N1" t="s">
        <v>12</v>
      </c>
      <c r="O1" t="s">
        <v>14</v>
      </c>
      <c r="P1" t="s">
        <v>14</v>
      </c>
      <c r="Q1" t="s">
        <v>14</v>
      </c>
      <c r="R1" t="s">
        <v>14</v>
      </c>
      <c r="S1" t="s">
        <v>14</v>
      </c>
      <c r="T1" t="s">
        <v>27</v>
      </c>
      <c r="U1" t="s">
        <v>29</v>
      </c>
      <c r="V1" t="s">
        <v>12</v>
      </c>
      <c r="W1" t="s">
        <v>14</v>
      </c>
      <c r="X1" t="s">
        <v>14</v>
      </c>
      <c r="Y1" t="s">
        <v>35</v>
      </c>
      <c r="Z1" t="s">
        <v>37</v>
      </c>
      <c r="AA1" t="s">
        <v>39</v>
      </c>
      <c r="AB1" t="s">
        <v>27</v>
      </c>
      <c r="AC1" t="s">
        <v>14</v>
      </c>
      <c r="AD1" t="s">
        <v>37</v>
      </c>
      <c r="AE1" t="s">
        <v>14</v>
      </c>
      <c r="AF1" t="s">
        <v>12</v>
      </c>
      <c r="AG1" t="s">
        <v>12</v>
      </c>
      <c r="AH1" t="s">
        <v>12</v>
      </c>
      <c r="AI1" t="s">
        <v>14</v>
      </c>
      <c r="AJ1" t="s">
        <v>12</v>
      </c>
      <c r="AK1" t="s">
        <v>27</v>
      </c>
      <c r="AL1" t="s">
        <v>14</v>
      </c>
      <c r="AM1" t="s">
        <v>14</v>
      </c>
      <c r="AN1" t="s">
        <v>35</v>
      </c>
      <c r="AO1" t="s">
        <v>12</v>
      </c>
      <c r="AP1" t="s">
        <v>12</v>
      </c>
      <c r="AQ1" t="s">
        <v>14</v>
      </c>
      <c r="AR1" t="s">
        <v>14</v>
      </c>
      <c r="AS1" t="s">
        <v>14</v>
      </c>
      <c r="AT1" t="s">
        <v>14</v>
      </c>
      <c r="AU1" t="s">
        <v>27</v>
      </c>
      <c r="AV1" t="s">
        <v>14</v>
      </c>
      <c r="AW1" t="s">
        <v>12</v>
      </c>
      <c r="AX1" t="s">
        <v>35</v>
      </c>
      <c r="AY1" t="s">
        <v>14</v>
      </c>
      <c r="AZ1" t="s">
        <v>12</v>
      </c>
      <c r="BA1" t="s">
        <v>37</v>
      </c>
      <c r="BB1" t="s">
        <v>14</v>
      </c>
      <c r="BC1" t="s">
        <v>12</v>
      </c>
      <c r="BD1" t="s">
        <v>14</v>
      </c>
      <c r="BE1" t="s">
        <v>12</v>
      </c>
    </row>
    <row r="2" spans="1:57" x14ac:dyDescent="0.35">
      <c r="A2" t="s">
        <v>12</v>
      </c>
      <c r="B2">
        <v>1030</v>
      </c>
      <c r="C2">
        <v>2</v>
      </c>
      <c r="D2">
        <v>2</v>
      </c>
      <c r="E2" s="2">
        <v>77.25</v>
      </c>
      <c r="H2" s="9" t="s">
        <v>5</v>
      </c>
      <c r="I2">
        <v>1030</v>
      </c>
      <c r="J2">
        <v>1210</v>
      </c>
      <c r="K2">
        <v>1540</v>
      </c>
      <c r="L2">
        <v>1830</v>
      </c>
      <c r="N2">
        <v>1614</v>
      </c>
      <c r="O2">
        <v>1270</v>
      </c>
      <c r="P2">
        <v>1325</v>
      </c>
      <c r="Q2">
        <v>1035</v>
      </c>
      <c r="R2">
        <v>1230</v>
      </c>
      <c r="S2">
        <v>1200</v>
      </c>
      <c r="T2">
        <v>3250</v>
      </c>
      <c r="U2">
        <v>4395</v>
      </c>
      <c r="V2">
        <v>1650</v>
      </c>
      <c r="W2">
        <v>1053</v>
      </c>
      <c r="X2">
        <v>1150</v>
      </c>
      <c r="Y2">
        <v>509</v>
      </c>
      <c r="Z2">
        <v>4400</v>
      </c>
      <c r="AA2">
        <v>900</v>
      </c>
      <c r="AB2">
        <v>2400</v>
      </c>
      <c r="AC2">
        <v>1063</v>
      </c>
      <c r="AD2">
        <v>900</v>
      </c>
      <c r="AE2">
        <v>900</v>
      </c>
      <c r="AF2">
        <v>1550</v>
      </c>
      <c r="AG2">
        <v>1852</v>
      </c>
      <c r="AH2">
        <v>1370</v>
      </c>
      <c r="AI2">
        <v>1171</v>
      </c>
      <c r="AJ2">
        <v>1436</v>
      </c>
      <c r="AK2">
        <v>2400</v>
      </c>
      <c r="AL2">
        <v>883</v>
      </c>
      <c r="AM2">
        <v>1000</v>
      </c>
      <c r="AN2">
        <v>907</v>
      </c>
      <c r="AO2">
        <v>1540</v>
      </c>
      <c r="AP2">
        <v>1746</v>
      </c>
      <c r="AQ2">
        <v>1169</v>
      </c>
      <c r="AR2">
        <v>1300</v>
      </c>
      <c r="AS2">
        <v>990</v>
      </c>
      <c r="AT2">
        <v>1395</v>
      </c>
      <c r="AU2">
        <v>2800</v>
      </c>
      <c r="AV2">
        <v>1160</v>
      </c>
      <c r="AW2">
        <v>1593</v>
      </c>
      <c r="AX2">
        <v>1200</v>
      </c>
      <c r="AY2">
        <v>900</v>
      </c>
      <c r="AZ2">
        <v>1465</v>
      </c>
      <c r="BA2">
        <v>2000</v>
      </c>
      <c r="BB2">
        <v>1268</v>
      </c>
      <c r="BC2">
        <v>1830</v>
      </c>
      <c r="BD2">
        <v>1200</v>
      </c>
      <c r="BE2">
        <v>1400</v>
      </c>
    </row>
    <row r="3" spans="1:57" x14ac:dyDescent="0.35">
      <c r="A3" t="s">
        <v>14</v>
      </c>
      <c r="B3">
        <v>1210</v>
      </c>
      <c r="C3">
        <v>2</v>
      </c>
      <c r="D3">
        <v>1</v>
      </c>
      <c r="E3" s="2">
        <v>83</v>
      </c>
      <c r="H3" s="9" t="s">
        <v>6</v>
      </c>
      <c r="I3">
        <v>2</v>
      </c>
      <c r="J3">
        <v>2</v>
      </c>
      <c r="K3">
        <v>3</v>
      </c>
      <c r="L3">
        <v>4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5</v>
      </c>
      <c r="U3">
        <v>4</v>
      </c>
      <c r="V3">
        <v>3</v>
      </c>
      <c r="W3">
        <v>2</v>
      </c>
      <c r="X3">
        <v>2</v>
      </c>
      <c r="Y3">
        <v>1</v>
      </c>
      <c r="Z3">
        <v>5</v>
      </c>
      <c r="AA3">
        <v>5</v>
      </c>
      <c r="AB3">
        <v>5</v>
      </c>
      <c r="AC3">
        <v>2</v>
      </c>
      <c r="AD3">
        <v>4</v>
      </c>
      <c r="AE3">
        <v>2</v>
      </c>
      <c r="AF3">
        <v>3</v>
      </c>
      <c r="AG3">
        <v>2</v>
      </c>
      <c r="AH3">
        <v>2</v>
      </c>
      <c r="AI3">
        <v>2</v>
      </c>
      <c r="AJ3">
        <v>2</v>
      </c>
      <c r="AK3">
        <v>5</v>
      </c>
      <c r="AL3">
        <v>2</v>
      </c>
      <c r="AM3">
        <v>2</v>
      </c>
      <c r="AN3">
        <v>1</v>
      </c>
      <c r="AO3">
        <v>3</v>
      </c>
      <c r="AP3">
        <v>3</v>
      </c>
      <c r="AQ3">
        <v>2</v>
      </c>
      <c r="AR3">
        <v>2</v>
      </c>
      <c r="AS3">
        <v>2</v>
      </c>
      <c r="AT3">
        <v>2</v>
      </c>
      <c r="AU3">
        <v>5</v>
      </c>
      <c r="AV3">
        <v>2</v>
      </c>
      <c r="AW3">
        <v>3</v>
      </c>
      <c r="AX3">
        <v>1</v>
      </c>
      <c r="AY3">
        <v>1</v>
      </c>
      <c r="AZ3">
        <v>2</v>
      </c>
      <c r="BA3">
        <v>4</v>
      </c>
      <c r="BB3">
        <v>2</v>
      </c>
      <c r="BC3">
        <v>3</v>
      </c>
      <c r="BD3">
        <v>2</v>
      </c>
      <c r="BE3">
        <v>3</v>
      </c>
    </row>
    <row r="4" spans="1:57" x14ac:dyDescent="0.35">
      <c r="A4" t="s">
        <v>12</v>
      </c>
      <c r="B4">
        <v>1540</v>
      </c>
      <c r="C4">
        <v>3</v>
      </c>
      <c r="D4">
        <v>2</v>
      </c>
      <c r="E4" s="2">
        <v>48.51</v>
      </c>
      <c r="H4" s="9" t="s">
        <v>7</v>
      </c>
      <c r="I4">
        <v>2</v>
      </c>
      <c r="J4">
        <v>1</v>
      </c>
      <c r="K4">
        <v>2</v>
      </c>
      <c r="L4">
        <v>2</v>
      </c>
      <c r="M4">
        <v>0</v>
      </c>
      <c r="N4">
        <v>2</v>
      </c>
      <c r="O4">
        <v>2</v>
      </c>
      <c r="P4">
        <v>2</v>
      </c>
      <c r="Q4">
        <v>1</v>
      </c>
      <c r="R4">
        <v>2</v>
      </c>
      <c r="S4">
        <v>2</v>
      </c>
      <c r="T4">
        <v>2</v>
      </c>
      <c r="U4">
        <v>2</v>
      </c>
      <c r="V4">
        <v>2</v>
      </c>
      <c r="W4">
        <v>1</v>
      </c>
      <c r="X4">
        <v>2</v>
      </c>
      <c r="Y4">
        <v>1</v>
      </c>
      <c r="Z4">
        <v>2</v>
      </c>
      <c r="AB4">
        <v>3</v>
      </c>
      <c r="AC4">
        <v>1</v>
      </c>
      <c r="AD4">
        <v>1</v>
      </c>
      <c r="AE4">
        <v>1</v>
      </c>
      <c r="AF4">
        <v>3</v>
      </c>
      <c r="AH4">
        <v>2</v>
      </c>
      <c r="AI4">
        <v>2</v>
      </c>
      <c r="AJ4">
        <v>2</v>
      </c>
      <c r="AK4">
        <v>2</v>
      </c>
      <c r="AL4">
        <v>1</v>
      </c>
      <c r="AM4">
        <v>1</v>
      </c>
      <c r="AN4">
        <v>1</v>
      </c>
      <c r="AO4">
        <v>2</v>
      </c>
      <c r="AP4">
        <v>3</v>
      </c>
      <c r="AQ4">
        <v>2</v>
      </c>
      <c r="AR4">
        <v>1</v>
      </c>
      <c r="AS4">
        <v>1</v>
      </c>
      <c r="AT4">
        <v>1</v>
      </c>
      <c r="AU4">
        <v>2</v>
      </c>
      <c r="AV4">
        <v>1</v>
      </c>
      <c r="AW4">
        <v>1</v>
      </c>
      <c r="AX4">
        <v>1</v>
      </c>
      <c r="AY4">
        <v>1</v>
      </c>
      <c r="AZ4">
        <v>2</v>
      </c>
      <c r="BA4">
        <v>1</v>
      </c>
      <c r="BB4">
        <v>1</v>
      </c>
      <c r="BC4">
        <v>3</v>
      </c>
      <c r="BD4">
        <v>1</v>
      </c>
      <c r="BE4">
        <v>2</v>
      </c>
    </row>
    <row r="5" spans="1:57" x14ac:dyDescent="0.35">
      <c r="A5" t="s">
        <v>12</v>
      </c>
      <c r="B5">
        <v>1830</v>
      </c>
      <c r="C5">
        <v>4</v>
      </c>
      <c r="D5">
        <v>2</v>
      </c>
      <c r="E5" s="2">
        <v>135</v>
      </c>
      <c r="H5" s="10" t="s">
        <v>8</v>
      </c>
      <c r="I5" s="2">
        <v>77.25</v>
      </c>
      <c r="J5" s="2">
        <v>83</v>
      </c>
      <c r="K5" s="2">
        <v>48.51</v>
      </c>
      <c r="L5" s="2">
        <v>135</v>
      </c>
      <c r="M5" s="2">
        <v>80</v>
      </c>
      <c r="N5" s="2">
        <v>59</v>
      </c>
      <c r="O5" s="2">
        <v>78</v>
      </c>
      <c r="P5" s="2">
        <v>119</v>
      </c>
      <c r="Q5" s="2">
        <v>39.33</v>
      </c>
      <c r="R5" s="2">
        <v>66.25</v>
      </c>
      <c r="S5" s="2">
        <v>46.5</v>
      </c>
      <c r="T5" s="2">
        <v>395</v>
      </c>
      <c r="U5" s="2">
        <v>242</v>
      </c>
      <c r="V5" s="2">
        <v>111</v>
      </c>
      <c r="W5" s="2">
        <v>48</v>
      </c>
      <c r="X5" s="2">
        <v>45</v>
      </c>
      <c r="Y5" s="2">
        <v>23</v>
      </c>
      <c r="Z5" s="2">
        <v>500</v>
      </c>
      <c r="AA5" s="2">
        <v>100</v>
      </c>
      <c r="AB5" s="2">
        <v>285</v>
      </c>
      <c r="AC5" s="2">
        <v>31.9</v>
      </c>
      <c r="AD5" s="2">
        <v>70</v>
      </c>
      <c r="AE5" s="2">
        <v>40</v>
      </c>
      <c r="AF5" s="2">
        <v>65.11</v>
      </c>
      <c r="AG5" s="2">
        <v>95</v>
      </c>
      <c r="AH5" s="2">
        <v>54.79</v>
      </c>
      <c r="AI5" s="2">
        <v>73</v>
      </c>
      <c r="AJ5" s="2">
        <v>55</v>
      </c>
      <c r="AK5" s="2">
        <v>200</v>
      </c>
      <c r="AL5" s="2">
        <v>40</v>
      </c>
      <c r="AM5" s="2">
        <v>58</v>
      </c>
      <c r="AN5" s="2">
        <v>38</v>
      </c>
      <c r="AO5" s="2">
        <v>85</v>
      </c>
      <c r="AP5" s="2">
        <v>84.95</v>
      </c>
      <c r="AQ5" s="2">
        <v>64.08</v>
      </c>
      <c r="AR5" s="2">
        <v>91.65</v>
      </c>
      <c r="AS5" s="2">
        <v>31.5</v>
      </c>
      <c r="AT5" s="2">
        <v>63.59</v>
      </c>
      <c r="AU5" s="2">
        <v>125</v>
      </c>
      <c r="AV5" s="2">
        <v>52.2</v>
      </c>
      <c r="AW5" s="2">
        <v>118</v>
      </c>
      <c r="AX5" s="2">
        <v>14</v>
      </c>
      <c r="AY5" s="2">
        <v>44</v>
      </c>
      <c r="AZ5" s="2">
        <v>49.81</v>
      </c>
      <c r="BA5" s="2">
        <v>312</v>
      </c>
      <c r="BB5" s="2">
        <v>127</v>
      </c>
      <c r="BC5" s="2">
        <v>89.89</v>
      </c>
      <c r="BD5" s="2">
        <v>54</v>
      </c>
      <c r="BE5" s="2">
        <v>90</v>
      </c>
    </row>
    <row r="6" spans="1:57" x14ac:dyDescent="0.35">
      <c r="A6" t="s">
        <v>19</v>
      </c>
      <c r="C6">
        <v>2</v>
      </c>
      <c r="D6">
        <v>0</v>
      </c>
      <c r="E6" s="2">
        <v>80</v>
      </c>
    </row>
    <row r="7" spans="1:57" x14ac:dyDescent="0.35">
      <c r="A7" t="s">
        <v>12</v>
      </c>
      <c r="B7">
        <v>1614</v>
      </c>
      <c r="C7">
        <v>2</v>
      </c>
      <c r="D7">
        <v>2</v>
      </c>
      <c r="E7" s="2">
        <v>59</v>
      </c>
    </row>
    <row r="8" spans="1:57" x14ac:dyDescent="0.35">
      <c r="A8" t="s">
        <v>14</v>
      </c>
      <c r="B8">
        <v>1270</v>
      </c>
      <c r="C8">
        <v>2</v>
      </c>
      <c r="D8">
        <v>2</v>
      </c>
      <c r="E8" s="2">
        <v>78</v>
      </c>
    </row>
    <row r="9" spans="1:57" x14ac:dyDescent="0.35">
      <c r="A9" t="s">
        <v>14</v>
      </c>
      <c r="B9">
        <v>1325</v>
      </c>
      <c r="C9">
        <v>2</v>
      </c>
      <c r="D9">
        <v>2</v>
      </c>
      <c r="E9" s="2">
        <v>119</v>
      </c>
    </row>
    <row r="10" spans="1:57" x14ac:dyDescent="0.35">
      <c r="A10" t="s">
        <v>14</v>
      </c>
      <c r="B10">
        <v>1035</v>
      </c>
      <c r="C10">
        <v>2</v>
      </c>
      <c r="D10">
        <v>1</v>
      </c>
      <c r="E10" s="2">
        <v>39.33</v>
      </c>
    </row>
    <row r="11" spans="1:57" x14ac:dyDescent="0.35">
      <c r="A11" t="s">
        <v>14</v>
      </c>
      <c r="B11">
        <v>1230</v>
      </c>
      <c r="C11">
        <v>2</v>
      </c>
      <c r="D11">
        <v>2</v>
      </c>
      <c r="E11" s="2">
        <v>66.25</v>
      </c>
    </row>
    <row r="12" spans="1:57" x14ac:dyDescent="0.35">
      <c r="A12" t="s">
        <v>14</v>
      </c>
      <c r="B12">
        <v>1200</v>
      </c>
      <c r="C12">
        <v>2</v>
      </c>
      <c r="D12">
        <v>2</v>
      </c>
      <c r="E12" s="2">
        <v>46.5</v>
      </c>
    </row>
    <row r="13" spans="1:57" x14ac:dyDescent="0.35">
      <c r="A13" t="s">
        <v>27</v>
      </c>
      <c r="B13">
        <v>3250</v>
      </c>
      <c r="C13">
        <v>5</v>
      </c>
      <c r="D13">
        <v>2</v>
      </c>
      <c r="E13" s="2">
        <v>395</v>
      </c>
    </row>
    <row r="14" spans="1:57" x14ac:dyDescent="0.35">
      <c r="A14" t="s">
        <v>29</v>
      </c>
      <c r="B14">
        <v>4395</v>
      </c>
      <c r="C14">
        <v>4</v>
      </c>
      <c r="D14">
        <v>2</v>
      </c>
      <c r="E14" s="2">
        <v>242</v>
      </c>
    </row>
    <row r="15" spans="1:57" x14ac:dyDescent="0.35">
      <c r="A15" t="s">
        <v>12</v>
      </c>
      <c r="B15">
        <v>1650</v>
      </c>
      <c r="C15">
        <v>3</v>
      </c>
      <c r="D15">
        <v>2</v>
      </c>
      <c r="E15" s="2">
        <v>111</v>
      </c>
    </row>
    <row r="16" spans="1:57" x14ac:dyDescent="0.35">
      <c r="A16" t="s">
        <v>14</v>
      </c>
      <c r="B16">
        <v>1053</v>
      </c>
      <c r="C16">
        <v>2</v>
      </c>
      <c r="D16">
        <v>1</v>
      </c>
      <c r="E16" s="2">
        <v>48</v>
      </c>
    </row>
    <row r="17" spans="1:5" x14ac:dyDescent="0.35">
      <c r="A17" t="s">
        <v>14</v>
      </c>
      <c r="B17">
        <v>1150</v>
      </c>
      <c r="C17">
        <v>2</v>
      </c>
      <c r="D17">
        <v>2</v>
      </c>
      <c r="E17" s="2">
        <v>45</v>
      </c>
    </row>
    <row r="18" spans="1:5" x14ac:dyDescent="0.35">
      <c r="A18" t="s">
        <v>35</v>
      </c>
      <c r="B18">
        <v>509</v>
      </c>
      <c r="C18">
        <v>1</v>
      </c>
      <c r="D18">
        <v>1</v>
      </c>
      <c r="E18" s="2">
        <v>23</v>
      </c>
    </row>
    <row r="19" spans="1:5" x14ac:dyDescent="0.35">
      <c r="A19" t="s">
        <v>37</v>
      </c>
      <c r="B19">
        <v>4400</v>
      </c>
      <c r="C19">
        <v>5</v>
      </c>
      <c r="D19">
        <v>2</v>
      </c>
      <c r="E19" s="2">
        <v>500</v>
      </c>
    </row>
    <row r="20" spans="1:5" x14ac:dyDescent="0.35">
      <c r="A20" t="s">
        <v>39</v>
      </c>
      <c r="B20">
        <v>900</v>
      </c>
      <c r="C20">
        <v>5</v>
      </c>
      <c r="E20" s="2">
        <v>100</v>
      </c>
    </row>
    <row r="21" spans="1:5" x14ac:dyDescent="0.35">
      <c r="A21" t="s">
        <v>27</v>
      </c>
      <c r="B21">
        <v>2400</v>
      </c>
      <c r="C21">
        <v>5</v>
      </c>
      <c r="D21">
        <v>3</v>
      </c>
      <c r="E21" s="2">
        <v>285</v>
      </c>
    </row>
    <row r="22" spans="1:5" x14ac:dyDescent="0.35">
      <c r="A22" t="s">
        <v>14</v>
      </c>
      <c r="B22">
        <v>1063</v>
      </c>
      <c r="C22">
        <v>2</v>
      </c>
      <c r="D22">
        <v>1</v>
      </c>
      <c r="E22" s="2">
        <v>31.9</v>
      </c>
    </row>
    <row r="23" spans="1:5" x14ac:dyDescent="0.35">
      <c r="A23" t="s">
        <v>37</v>
      </c>
      <c r="B23">
        <v>900</v>
      </c>
      <c r="C23">
        <v>4</v>
      </c>
      <c r="D23">
        <v>1</v>
      </c>
      <c r="E23" s="2">
        <v>70</v>
      </c>
    </row>
    <row r="24" spans="1:5" x14ac:dyDescent="0.35">
      <c r="A24" t="s">
        <v>14</v>
      </c>
      <c r="B24">
        <v>900</v>
      </c>
      <c r="C24">
        <v>2</v>
      </c>
      <c r="D24">
        <v>1</v>
      </c>
      <c r="E24" s="2">
        <v>40</v>
      </c>
    </row>
    <row r="25" spans="1:5" x14ac:dyDescent="0.35">
      <c r="A25" t="s">
        <v>12</v>
      </c>
      <c r="B25">
        <v>1550</v>
      </c>
      <c r="C25">
        <v>3</v>
      </c>
      <c r="D25">
        <v>3</v>
      </c>
      <c r="E25" s="2">
        <v>65.11</v>
      </c>
    </row>
    <row r="26" spans="1:5" x14ac:dyDescent="0.35">
      <c r="A26" t="s">
        <v>12</v>
      </c>
      <c r="B26">
        <v>1852</v>
      </c>
      <c r="C26">
        <v>2</v>
      </c>
      <c r="E26" s="2">
        <v>95</v>
      </c>
    </row>
    <row r="27" spans="1:5" x14ac:dyDescent="0.35">
      <c r="A27" t="s">
        <v>12</v>
      </c>
      <c r="B27">
        <v>1370</v>
      </c>
      <c r="C27">
        <v>2</v>
      </c>
      <c r="D27">
        <v>2</v>
      </c>
      <c r="E27" s="2">
        <v>54.79</v>
      </c>
    </row>
    <row r="28" spans="1:5" x14ac:dyDescent="0.35">
      <c r="A28" t="s">
        <v>14</v>
      </c>
      <c r="B28">
        <v>1171</v>
      </c>
      <c r="C28">
        <v>2</v>
      </c>
      <c r="D28">
        <v>2</v>
      </c>
      <c r="E28" s="2">
        <v>73</v>
      </c>
    </row>
    <row r="29" spans="1:5" x14ac:dyDescent="0.35">
      <c r="A29" t="s">
        <v>12</v>
      </c>
      <c r="B29">
        <v>1436</v>
      </c>
      <c r="C29">
        <v>2</v>
      </c>
      <c r="D29">
        <v>2</v>
      </c>
      <c r="E29" s="2">
        <v>55</v>
      </c>
    </row>
    <row r="30" spans="1:5" x14ac:dyDescent="0.35">
      <c r="A30" t="s">
        <v>27</v>
      </c>
      <c r="B30">
        <v>2400</v>
      </c>
      <c r="C30">
        <v>5</v>
      </c>
      <c r="D30">
        <v>2</v>
      </c>
      <c r="E30" s="2">
        <v>200</v>
      </c>
    </row>
    <row r="31" spans="1:5" x14ac:dyDescent="0.35">
      <c r="A31" t="s">
        <v>14</v>
      </c>
      <c r="B31">
        <v>883</v>
      </c>
      <c r="C31">
        <v>2</v>
      </c>
      <c r="D31">
        <v>1</v>
      </c>
      <c r="E31" s="2">
        <v>40</v>
      </c>
    </row>
    <row r="32" spans="1:5" x14ac:dyDescent="0.35">
      <c r="A32" t="s">
        <v>14</v>
      </c>
      <c r="B32">
        <v>1000</v>
      </c>
      <c r="C32">
        <v>2</v>
      </c>
      <c r="D32">
        <v>1</v>
      </c>
      <c r="E32" s="2">
        <v>58</v>
      </c>
    </row>
    <row r="33" spans="1:5" x14ac:dyDescent="0.35">
      <c r="A33" t="s">
        <v>35</v>
      </c>
      <c r="B33">
        <v>907</v>
      </c>
      <c r="C33">
        <v>1</v>
      </c>
      <c r="D33">
        <v>1</v>
      </c>
      <c r="E33" s="2">
        <v>38</v>
      </c>
    </row>
    <row r="34" spans="1:5" x14ac:dyDescent="0.35">
      <c r="A34" t="s">
        <v>12</v>
      </c>
      <c r="B34">
        <v>1540</v>
      </c>
      <c r="C34">
        <v>3</v>
      </c>
      <c r="D34">
        <v>2</v>
      </c>
      <c r="E34" s="2">
        <v>85</v>
      </c>
    </row>
    <row r="35" spans="1:5" x14ac:dyDescent="0.35">
      <c r="A35" t="s">
        <v>12</v>
      </c>
      <c r="B35">
        <v>1746</v>
      </c>
      <c r="C35">
        <v>3</v>
      </c>
      <c r="D35">
        <v>3</v>
      </c>
      <c r="E35" s="2">
        <v>84.95</v>
      </c>
    </row>
    <row r="36" spans="1:5" x14ac:dyDescent="0.35">
      <c r="A36" t="s">
        <v>14</v>
      </c>
      <c r="B36">
        <v>1169</v>
      </c>
      <c r="C36">
        <v>2</v>
      </c>
      <c r="D36">
        <v>2</v>
      </c>
      <c r="E36" s="2">
        <v>64.08</v>
      </c>
    </row>
    <row r="37" spans="1:5" x14ac:dyDescent="0.35">
      <c r="A37" t="s">
        <v>14</v>
      </c>
      <c r="B37">
        <v>1300</v>
      </c>
      <c r="C37">
        <v>2</v>
      </c>
      <c r="D37">
        <v>1</v>
      </c>
      <c r="E37" s="2">
        <v>91.65</v>
      </c>
    </row>
    <row r="38" spans="1:5" x14ac:dyDescent="0.35">
      <c r="A38" t="s">
        <v>14</v>
      </c>
      <c r="B38">
        <v>990</v>
      </c>
      <c r="C38">
        <v>2</v>
      </c>
      <c r="D38">
        <v>1</v>
      </c>
      <c r="E38" s="2">
        <v>31.5</v>
      </c>
    </row>
    <row r="39" spans="1:5" x14ac:dyDescent="0.35">
      <c r="A39" t="s">
        <v>14</v>
      </c>
      <c r="B39">
        <v>1395</v>
      </c>
      <c r="C39">
        <v>2</v>
      </c>
      <c r="D39">
        <v>1</v>
      </c>
      <c r="E39" s="2">
        <v>63.59</v>
      </c>
    </row>
    <row r="40" spans="1:5" x14ac:dyDescent="0.35">
      <c r="A40" t="s">
        <v>27</v>
      </c>
      <c r="B40">
        <v>2800</v>
      </c>
      <c r="C40">
        <v>5</v>
      </c>
      <c r="D40">
        <v>2</v>
      </c>
      <c r="E40" s="2">
        <v>125</v>
      </c>
    </row>
    <row r="41" spans="1:5" x14ac:dyDescent="0.35">
      <c r="A41" t="s">
        <v>14</v>
      </c>
      <c r="B41">
        <v>1160</v>
      </c>
      <c r="C41">
        <v>2</v>
      </c>
      <c r="D41">
        <v>1</v>
      </c>
      <c r="E41" s="2">
        <v>52.2</v>
      </c>
    </row>
    <row r="42" spans="1:5" x14ac:dyDescent="0.35">
      <c r="A42" t="s">
        <v>12</v>
      </c>
      <c r="B42">
        <v>1593</v>
      </c>
      <c r="C42">
        <v>3</v>
      </c>
      <c r="D42">
        <v>1</v>
      </c>
      <c r="E42" s="2">
        <v>118</v>
      </c>
    </row>
    <row r="43" spans="1:5" x14ac:dyDescent="0.35">
      <c r="A43" t="s">
        <v>35</v>
      </c>
      <c r="B43">
        <v>1200</v>
      </c>
      <c r="C43">
        <v>1</v>
      </c>
      <c r="D43">
        <v>1</v>
      </c>
      <c r="E43" s="2">
        <v>14</v>
      </c>
    </row>
    <row r="44" spans="1:5" x14ac:dyDescent="0.35">
      <c r="A44" t="s">
        <v>14</v>
      </c>
      <c r="B44">
        <v>900</v>
      </c>
      <c r="C44">
        <v>1</v>
      </c>
      <c r="D44">
        <v>1</v>
      </c>
      <c r="E44" s="2">
        <v>44</v>
      </c>
    </row>
    <row r="45" spans="1:5" x14ac:dyDescent="0.35">
      <c r="A45" t="s">
        <v>12</v>
      </c>
      <c r="B45">
        <v>1465</v>
      </c>
      <c r="C45">
        <v>2</v>
      </c>
      <c r="D45">
        <v>2</v>
      </c>
      <c r="E45" s="2">
        <v>49.81</v>
      </c>
    </row>
    <row r="46" spans="1:5" x14ac:dyDescent="0.35">
      <c r="A46" t="s">
        <v>37</v>
      </c>
      <c r="B46">
        <v>2000</v>
      </c>
      <c r="C46">
        <v>4</v>
      </c>
      <c r="D46">
        <v>1</v>
      </c>
      <c r="E46" s="2">
        <v>312</v>
      </c>
    </row>
    <row r="47" spans="1:5" x14ac:dyDescent="0.35">
      <c r="A47" t="s">
        <v>14</v>
      </c>
      <c r="B47">
        <v>1268</v>
      </c>
      <c r="C47">
        <v>2</v>
      </c>
      <c r="D47">
        <v>1</v>
      </c>
      <c r="E47" s="2">
        <v>127</v>
      </c>
    </row>
    <row r="48" spans="1:5" x14ac:dyDescent="0.35">
      <c r="A48" t="s">
        <v>12</v>
      </c>
      <c r="B48">
        <v>1830</v>
      </c>
      <c r="C48">
        <v>3</v>
      </c>
      <c r="D48">
        <v>3</v>
      </c>
      <c r="E48" s="2">
        <v>89.89</v>
      </c>
    </row>
    <row r="49" spans="1:5" x14ac:dyDescent="0.35">
      <c r="A49" t="s">
        <v>14</v>
      </c>
      <c r="B49">
        <v>1200</v>
      </c>
      <c r="C49">
        <v>2</v>
      </c>
      <c r="D49">
        <v>1</v>
      </c>
      <c r="E49" s="2">
        <v>54</v>
      </c>
    </row>
    <row r="50" spans="1:5" x14ac:dyDescent="0.35">
      <c r="A50" t="s">
        <v>12</v>
      </c>
      <c r="B50">
        <v>1400</v>
      </c>
      <c r="C50">
        <v>3</v>
      </c>
      <c r="D50">
        <v>2</v>
      </c>
      <c r="E50" s="2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DE8F6-3EB6-4A93-9764-34FEC1B91621}">
  <dimension ref="A1:F49"/>
  <sheetViews>
    <sheetView tabSelected="1" topLeftCell="A9" workbookViewId="0">
      <selection activeCell="D15" sqref="D15"/>
    </sheetView>
  </sheetViews>
  <sheetFormatPr defaultRowHeight="14.5" outlineLevelRow="1" outlineLevelCol="1" x14ac:dyDescent="0.35"/>
  <cols>
    <col min="1" max="1" width="10" bestFit="1" customWidth="1"/>
    <col min="2" max="2" width="13.36328125" bestFit="1" customWidth="1" outlineLevel="1"/>
    <col min="3" max="3" width="9.1796875" bestFit="1" customWidth="1" outlineLevel="1"/>
    <col min="4" max="4" width="11.81640625" bestFit="1" customWidth="1"/>
    <col min="5" max="5" width="9.453125" bestFit="1" customWidth="1"/>
    <col min="6" max="6" width="10.36328125" bestFit="1" customWidth="1"/>
  </cols>
  <sheetData>
    <row r="1" spans="1:6" x14ac:dyDescent="0.35">
      <c r="A1" s="11" t="s">
        <v>12</v>
      </c>
      <c r="B1" s="11">
        <v>1030</v>
      </c>
      <c r="C1" s="11">
        <v>2</v>
      </c>
      <c r="D1" s="11">
        <v>2</v>
      </c>
      <c r="E1" s="12">
        <v>77.25</v>
      </c>
      <c r="F1" s="11">
        <f>COUNTA(A1:E1)</f>
        <v>5</v>
      </c>
    </row>
    <row r="2" spans="1:6" x14ac:dyDescent="0.35">
      <c r="A2" s="11" t="s">
        <v>14</v>
      </c>
      <c r="B2" s="11">
        <v>1210</v>
      </c>
      <c r="C2" s="11">
        <v>2</v>
      </c>
      <c r="D2" s="11">
        <v>1</v>
      </c>
      <c r="E2" s="12">
        <v>83</v>
      </c>
      <c r="F2" s="11">
        <f t="shared" ref="F2:F46" si="0">COUNTA(A2:E2)</f>
        <v>5</v>
      </c>
    </row>
    <row r="3" spans="1:6" x14ac:dyDescent="0.35">
      <c r="A3" s="11" t="s">
        <v>12</v>
      </c>
      <c r="B3" s="11">
        <v>1540</v>
      </c>
      <c r="C3" s="11">
        <v>3</v>
      </c>
      <c r="D3" s="11">
        <v>2</v>
      </c>
      <c r="E3" s="12">
        <v>48.51</v>
      </c>
      <c r="F3" s="11">
        <f t="shared" si="0"/>
        <v>5</v>
      </c>
    </row>
    <row r="4" spans="1:6" x14ac:dyDescent="0.35">
      <c r="A4" s="11" t="s">
        <v>12</v>
      </c>
      <c r="B4" s="11">
        <v>1830</v>
      </c>
      <c r="C4" s="11">
        <v>4</v>
      </c>
      <c r="D4" s="11">
        <v>2</v>
      </c>
      <c r="E4" s="12">
        <v>135</v>
      </c>
      <c r="F4" s="11">
        <f t="shared" si="0"/>
        <v>5</v>
      </c>
    </row>
    <row r="5" spans="1:6" x14ac:dyDescent="0.35">
      <c r="A5" s="11" t="s">
        <v>19</v>
      </c>
      <c r="B5" s="11"/>
      <c r="C5" s="11">
        <v>2</v>
      </c>
      <c r="D5" s="11">
        <v>0</v>
      </c>
      <c r="E5" s="12">
        <v>80</v>
      </c>
      <c r="F5" s="11">
        <f t="shared" si="0"/>
        <v>4</v>
      </c>
    </row>
    <row r="6" spans="1:6" x14ac:dyDescent="0.35">
      <c r="A6" s="11" t="s">
        <v>12</v>
      </c>
      <c r="B6" s="11">
        <v>1614</v>
      </c>
      <c r="C6" s="11">
        <v>2</v>
      </c>
      <c r="D6" s="11">
        <v>2</v>
      </c>
      <c r="E6" s="12">
        <v>59</v>
      </c>
      <c r="F6" s="11">
        <f t="shared" si="0"/>
        <v>5</v>
      </c>
    </row>
    <row r="7" spans="1:6" x14ac:dyDescent="0.35">
      <c r="A7" s="11" t="s">
        <v>14</v>
      </c>
      <c r="B7" s="11">
        <v>1270</v>
      </c>
      <c r="C7" s="11">
        <v>2</v>
      </c>
      <c r="D7" s="11">
        <v>2</v>
      </c>
      <c r="E7" s="12">
        <v>78</v>
      </c>
      <c r="F7" s="11">
        <f t="shared" si="0"/>
        <v>5</v>
      </c>
    </row>
    <row r="8" spans="1:6" x14ac:dyDescent="0.35">
      <c r="A8" s="11" t="s">
        <v>14</v>
      </c>
      <c r="B8" s="11">
        <v>1325</v>
      </c>
      <c r="C8" s="11">
        <v>2</v>
      </c>
      <c r="D8" s="11">
        <v>2</v>
      </c>
      <c r="E8" s="12">
        <v>119</v>
      </c>
      <c r="F8" s="11">
        <f t="shared" si="0"/>
        <v>5</v>
      </c>
    </row>
    <row r="9" spans="1:6" x14ac:dyDescent="0.35">
      <c r="A9" s="11" t="s">
        <v>14</v>
      </c>
      <c r="B9" s="11">
        <v>1035</v>
      </c>
      <c r="C9" s="11">
        <v>2</v>
      </c>
      <c r="D9" s="11">
        <v>1</v>
      </c>
      <c r="E9" s="12">
        <v>39.33</v>
      </c>
      <c r="F9" s="11">
        <f t="shared" si="0"/>
        <v>5</v>
      </c>
    </row>
    <row r="10" spans="1:6" x14ac:dyDescent="0.35">
      <c r="A10" s="11" t="s">
        <v>14</v>
      </c>
      <c r="B10" s="11">
        <v>1230</v>
      </c>
      <c r="C10" s="11">
        <v>2</v>
      </c>
      <c r="D10" s="11">
        <v>2</v>
      </c>
      <c r="E10" s="12">
        <v>66.25</v>
      </c>
      <c r="F10" s="11">
        <f t="shared" si="0"/>
        <v>5</v>
      </c>
    </row>
    <row r="11" spans="1:6" outlineLevel="1" x14ac:dyDescent="0.35">
      <c r="A11" s="11" t="s">
        <v>14</v>
      </c>
      <c r="B11" s="11">
        <v>1200</v>
      </c>
      <c r="C11" s="11">
        <v>2</v>
      </c>
      <c r="D11" s="11">
        <v>2</v>
      </c>
      <c r="E11" s="12">
        <v>46.5</v>
      </c>
      <c r="F11" s="11">
        <f t="shared" si="0"/>
        <v>5</v>
      </c>
    </row>
    <row r="12" spans="1:6" outlineLevel="1" x14ac:dyDescent="0.35">
      <c r="A12" s="11" t="s">
        <v>27</v>
      </c>
      <c r="B12" s="11">
        <v>3250</v>
      </c>
      <c r="C12" s="11">
        <v>5</v>
      </c>
      <c r="D12" s="11">
        <v>2</v>
      </c>
      <c r="E12" s="12">
        <v>395</v>
      </c>
      <c r="F12" s="11">
        <f t="shared" si="0"/>
        <v>5</v>
      </c>
    </row>
    <row r="13" spans="1:6" outlineLevel="1" x14ac:dyDescent="0.35">
      <c r="A13" s="11" t="s">
        <v>29</v>
      </c>
      <c r="B13" s="11">
        <v>4395</v>
      </c>
      <c r="C13" s="11">
        <v>4</v>
      </c>
      <c r="D13" s="11">
        <v>2</v>
      </c>
      <c r="E13" s="12">
        <v>242</v>
      </c>
      <c r="F13" s="11">
        <f t="shared" si="0"/>
        <v>5</v>
      </c>
    </row>
    <row r="14" spans="1:6" outlineLevel="1" x14ac:dyDescent="0.35">
      <c r="A14" s="11" t="s">
        <v>12</v>
      </c>
      <c r="B14" s="11">
        <v>1650</v>
      </c>
      <c r="C14" s="11">
        <v>3</v>
      </c>
      <c r="D14" s="11">
        <v>2</v>
      </c>
      <c r="E14" s="12">
        <v>111</v>
      </c>
      <c r="F14" s="11">
        <f t="shared" si="0"/>
        <v>5</v>
      </c>
    </row>
    <row r="15" spans="1:6" x14ac:dyDescent="0.35">
      <c r="A15" s="11" t="s">
        <v>14</v>
      </c>
      <c r="B15" s="11">
        <v>1053</v>
      </c>
      <c r="C15" s="11">
        <v>2</v>
      </c>
      <c r="D15" s="11">
        <v>1</v>
      </c>
      <c r="E15" s="12">
        <v>48</v>
      </c>
      <c r="F15" s="11">
        <f t="shared" si="0"/>
        <v>5</v>
      </c>
    </row>
    <row r="16" spans="1:6" x14ac:dyDescent="0.35">
      <c r="A16" s="11" t="s">
        <v>14</v>
      </c>
      <c r="B16" s="11">
        <v>1150</v>
      </c>
      <c r="C16" s="11">
        <v>2</v>
      </c>
      <c r="D16" s="11">
        <v>2</v>
      </c>
      <c r="E16" s="12">
        <v>45</v>
      </c>
      <c r="F16" s="11">
        <f t="shared" si="0"/>
        <v>5</v>
      </c>
    </row>
    <row r="17" spans="1:6" x14ac:dyDescent="0.35">
      <c r="A17" s="11" t="s">
        <v>35</v>
      </c>
      <c r="B17" s="11">
        <v>509</v>
      </c>
      <c r="C17" s="11">
        <v>1</v>
      </c>
      <c r="D17" s="11">
        <v>1</v>
      </c>
      <c r="E17" s="12">
        <v>23</v>
      </c>
      <c r="F17" s="11">
        <f t="shared" si="0"/>
        <v>5</v>
      </c>
    </row>
    <row r="18" spans="1:6" x14ac:dyDescent="0.35">
      <c r="A18" s="11" t="s">
        <v>37</v>
      </c>
      <c r="B18" s="11">
        <v>4400</v>
      </c>
      <c r="C18" s="11">
        <v>5</v>
      </c>
      <c r="D18" s="11">
        <v>2</v>
      </c>
      <c r="E18" s="12">
        <v>500</v>
      </c>
      <c r="F18" s="11">
        <f t="shared" si="0"/>
        <v>5</v>
      </c>
    </row>
    <row r="19" spans="1:6" x14ac:dyDescent="0.35">
      <c r="A19" s="11" t="s">
        <v>39</v>
      </c>
      <c r="B19" s="11">
        <v>900</v>
      </c>
      <c r="C19" s="11">
        <v>5</v>
      </c>
      <c r="D19" s="11"/>
      <c r="E19" s="12">
        <v>100</v>
      </c>
      <c r="F19" s="11">
        <f t="shared" si="0"/>
        <v>4</v>
      </c>
    </row>
    <row r="20" spans="1:6" x14ac:dyDescent="0.35">
      <c r="A20" s="11" t="s">
        <v>27</v>
      </c>
      <c r="B20" s="11">
        <v>2400</v>
      </c>
      <c r="C20" s="11">
        <v>5</v>
      </c>
      <c r="D20" s="11">
        <v>3</v>
      </c>
      <c r="E20" s="12">
        <v>285</v>
      </c>
      <c r="F20" s="11">
        <f t="shared" si="0"/>
        <v>5</v>
      </c>
    </row>
    <row r="21" spans="1:6" x14ac:dyDescent="0.35">
      <c r="A21" s="11" t="s">
        <v>14</v>
      </c>
      <c r="B21" s="11">
        <v>1063</v>
      </c>
      <c r="C21" s="11">
        <v>2</v>
      </c>
      <c r="D21" s="11">
        <v>1</v>
      </c>
      <c r="E21" s="12">
        <v>31.9</v>
      </c>
      <c r="F21" s="11">
        <f t="shared" si="0"/>
        <v>5</v>
      </c>
    </row>
    <row r="22" spans="1:6" x14ac:dyDescent="0.35">
      <c r="A22" s="11" t="s">
        <v>37</v>
      </c>
      <c r="B22" s="11">
        <v>900</v>
      </c>
      <c r="C22" s="11">
        <v>4</v>
      </c>
      <c r="D22" s="11">
        <v>1</v>
      </c>
      <c r="E22" s="12">
        <v>70</v>
      </c>
      <c r="F22" s="11">
        <f t="shared" si="0"/>
        <v>5</v>
      </c>
    </row>
    <row r="23" spans="1:6" x14ac:dyDescent="0.35">
      <c r="A23" s="11" t="s">
        <v>14</v>
      </c>
      <c r="B23" s="11">
        <v>900</v>
      </c>
      <c r="C23" s="11">
        <v>2</v>
      </c>
      <c r="D23" s="11">
        <v>1</v>
      </c>
      <c r="E23" s="12">
        <v>40</v>
      </c>
      <c r="F23" s="11">
        <f t="shared" si="0"/>
        <v>5</v>
      </c>
    </row>
    <row r="24" spans="1:6" x14ac:dyDescent="0.35">
      <c r="A24" s="11" t="s">
        <v>12</v>
      </c>
      <c r="B24" s="11">
        <v>1550</v>
      </c>
      <c r="C24" s="11">
        <v>3</v>
      </c>
      <c r="D24" s="11">
        <v>3</v>
      </c>
      <c r="E24" s="12">
        <v>65.11</v>
      </c>
      <c r="F24" s="11">
        <f t="shared" si="0"/>
        <v>5</v>
      </c>
    </row>
    <row r="25" spans="1:6" x14ac:dyDescent="0.35">
      <c r="A25" s="11" t="s">
        <v>12</v>
      </c>
      <c r="B25" s="11">
        <v>1852</v>
      </c>
      <c r="C25" s="11">
        <v>2</v>
      </c>
      <c r="D25" s="11"/>
      <c r="E25" s="12">
        <v>95</v>
      </c>
      <c r="F25" s="11">
        <f t="shared" si="0"/>
        <v>4</v>
      </c>
    </row>
    <row r="26" spans="1:6" x14ac:dyDescent="0.35">
      <c r="A26" s="11" t="s">
        <v>12</v>
      </c>
      <c r="B26" s="11">
        <v>1370</v>
      </c>
      <c r="C26" s="11">
        <v>2</v>
      </c>
      <c r="D26" s="11">
        <v>2</v>
      </c>
      <c r="E26" s="12">
        <v>54.79</v>
      </c>
      <c r="F26" s="11">
        <f t="shared" si="0"/>
        <v>5</v>
      </c>
    </row>
    <row r="27" spans="1:6" x14ac:dyDescent="0.35">
      <c r="A27" s="11" t="s">
        <v>14</v>
      </c>
      <c r="B27" s="11">
        <v>1171</v>
      </c>
      <c r="C27" s="11">
        <v>2</v>
      </c>
      <c r="D27" s="11">
        <v>2</v>
      </c>
      <c r="E27" s="12">
        <v>73</v>
      </c>
      <c r="F27" s="11">
        <f t="shared" si="0"/>
        <v>5</v>
      </c>
    </row>
    <row r="28" spans="1:6" x14ac:dyDescent="0.35">
      <c r="A28" s="11" t="s">
        <v>12</v>
      </c>
      <c r="B28" s="11">
        <v>1436</v>
      </c>
      <c r="C28" s="11">
        <v>2</v>
      </c>
      <c r="D28" s="11">
        <v>2</v>
      </c>
      <c r="E28" s="12">
        <v>55</v>
      </c>
      <c r="F28" s="11">
        <f t="shared" si="0"/>
        <v>5</v>
      </c>
    </row>
    <row r="29" spans="1:6" x14ac:dyDescent="0.35">
      <c r="A29" s="11" t="s">
        <v>27</v>
      </c>
      <c r="B29" s="11">
        <v>2400</v>
      </c>
      <c r="C29" s="11">
        <v>5</v>
      </c>
      <c r="D29" s="11">
        <v>2</v>
      </c>
      <c r="E29" s="12">
        <v>200</v>
      </c>
      <c r="F29" s="11">
        <f t="shared" si="0"/>
        <v>5</v>
      </c>
    </row>
    <row r="30" spans="1:6" x14ac:dyDescent="0.35">
      <c r="A30" s="11" t="s">
        <v>14</v>
      </c>
      <c r="B30" s="11">
        <v>883</v>
      </c>
      <c r="C30" s="11">
        <v>2</v>
      </c>
      <c r="D30" s="11">
        <v>1</v>
      </c>
      <c r="E30" s="12">
        <v>40</v>
      </c>
      <c r="F30" s="11">
        <f t="shared" si="0"/>
        <v>5</v>
      </c>
    </row>
    <row r="31" spans="1:6" x14ac:dyDescent="0.35">
      <c r="A31" s="11" t="s">
        <v>14</v>
      </c>
      <c r="B31" s="11">
        <v>1000</v>
      </c>
      <c r="C31" s="11">
        <v>2</v>
      </c>
      <c r="D31" s="11">
        <v>1</v>
      </c>
      <c r="E31" s="12">
        <v>58</v>
      </c>
      <c r="F31" s="11">
        <f t="shared" si="0"/>
        <v>5</v>
      </c>
    </row>
    <row r="32" spans="1:6" x14ac:dyDescent="0.35">
      <c r="A32" s="11" t="s">
        <v>35</v>
      </c>
      <c r="B32" s="11">
        <v>907</v>
      </c>
      <c r="C32" s="11">
        <v>1</v>
      </c>
      <c r="D32" s="11">
        <v>1</v>
      </c>
      <c r="E32" s="12">
        <v>38</v>
      </c>
      <c r="F32" s="11">
        <f t="shared" si="0"/>
        <v>5</v>
      </c>
    </row>
    <row r="33" spans="1:6" x14ac:dyDescent="0.35">
      <c r="A33" s="11" t="s">
        <v>12</v>
      </c>
      <c r="B33" s="11">
        <v>1540</v>
      </c>
      <c r="C33" s="11">
        <v>3</v>
      </c>
      <c r="D33" s="11">
        <v>2</v>
      </c>
      <c r="E33" s="12">
        <v>85</v>
      </c>
      <c r="F33" s="11">
        <f t="shared" si="0"/>
        <v>5</v>
      </c>
    </row>
    <row r="34" spans="1:6" x14ac:dyDescent="0.35">
      <c r="A34" s="11" t="s">
        <v>12</v>
      </c>
      <c r="B34" s="11">
        <v>1746</v>
      </c>
      <c r="C34" s="11">
        <v>3</v>
      </c>
      <c r="D34" s="11">
        <v>3</v>
      </c>
      <c r="E34" s="12">
        <v>84.95</v>
      </c>
      <c r="F34" s="11">
        <f t="shared" si="0"/>
        <v>5</v>
      </c>
    </row>
    <row r="35" spans="1:6" outlineLevel="1" x14ac:dyDescent="0.35">
      <c r="A35" s="11" t="s">
        <v>14</v>
      </c>
      <c r="B35" s="11">
        <v>1169</v>
      </c>
      <c r="C35" s="11">
        <v>2</v>
      </c>
      <c r="D35" s="11">
        <v>2</v>
      </c>
      <c r="E35" s="12">
        <v>64.08</v>
      </c>
      <c r="F35" s="11">
        <f t="shared" si="0"/>
        <v>5</v>
      </c>
    </row>
    <row r="36" spans="1:6" outlineLevel="1" x14ac:dyDescent="0.35">
      <c r="A36" s="11" t="s">
        <v>14</v>
      </c>
      <c r="B36" s="11">
        <v>1300</v>
      </c>
      <c r="C36" s="11">
        <v>2</v>
      </c>
      <c r="D36" s="11">
        <v>1</v>
      </c>
      <c r="E36" s="12">
        <v>91.65</v>
      </c>
      <c r="F36" s="11">
        <f t="shared" si="0"/>
        <v>5</v>
      </c>
    </row>
    <row r="37" spans="1:6" outlineLevel="1" x14ac:dyDescent="0.35">
      <c r="A37" s="11" t="s">
        <v>14</v>
      </c>
      <c r="B37" s="11">
        <v>990</v>
      </c>
      <c r="C37" s="11">
        <v>2</v>
      </c>
      <c r="D37" s="11">
        <v>1</v>
      </c>
      <c r="E37" s="12">
        <v>31.5</v>
      </c>
      <c r="F37" s="11">
        <f t="shared" si="0"/>
        <v>5</v>
      </c>
    </row>
    <row r="38" spans="1:6" outlineLevel="1" x14ac:dyDescent="0.35">
      <c r="A38" s="11" t="s">
        <v>14</v>
      </c>
      <c r="B38" s="11">
        <v>1395</v>
      </c>
      <c r="C38" s="11">
        <v>2</v>
      </c>
      <c r="D38" s="11">
        <v>1</v>
      </c>
      <c r="E38" s="12">
        <v>63.59</v>
      </c>
      <c r="F38" s="11">
        <f t="shared" si="0"/>
        <v>5</v>
      </c>
    </row>
    <row r="39" spans="1:6" outlineLevel="1" x14ac:dyDescent="0.35">
      <c r="A39" s="11" t="s">
        <v>27</v>
      </c>
      <c r="B39" s="11">
        <v>2800</v>
      </c>
      <c r="C39" s="11">
        <v>5</v>
      </c>
      <c r="D39" s="11">
        <v>2</v>
      </c>
      <c r="E39" s="12">
        <v>125</v>
      </c>
      <c r="F39" s="11">
        <f t="shared" si="0"/>
        <v>5</v>
      </c>
    </row>
    <row r="40" spans="1:6" outlineLevel="1" x14ac:dyDescent="0.35">
      <c r="A40" s="11" t="s">
        <v>14</v>
      </c>
      <c r="B40" s="11">
        <v>1160</v>
      </c>
      <c r="C40" s="11">
        <v>2</v>
      </c>
      <c r="D40" s="11">
        <v>1</v>
      </c>
      <c r="E40" s="12">
        <v>52.2</v>
      </c>
      <c r="F40" s="11">
        <f t="shared" si="0"/>
        <v>5</v>
      </c>
    </row>
    <row r="41" spans="1:6" outlineLevel="1" x14ac:dyDescent="0.35">
      <c r="A41" s="11" t="s">
        <v>12</v>
      </c>
      <c r="B41" s="11">
        <v>1593</v>
      </c>
      <c r="C41" s="11">
        <v>3</v>
      </c>
      <c r="D41" s="11">
        <v>1</v>
      </c>
      <c r="E41" s="12">
        <v>118</v>
      </c>
      <c r="F41" s="11">
        <f t="shared" si="0"/>
        <v>5</v>
      </c>
    </row>
    <row r="42" spans="1:6" x14ac:dyDescent="0.35">
      <c r="A42" s="11" t="s">
        <v>35</v>
      </c>
      <c r="B42" s="11">
        <v>1200</v>
      </c>
      <c r="C42" s="11">
        <v>1</v>
      </c>
      <c r="D42" s="11">
        <v>1</v>
      </c>
      <c r="E42" s="12">
        <v>14</v>
      </c>
      <c r="F42" s="11">
        <f t="shared" si="0"/>
        <v>5</v>
      </c>
    </row>
    <row r="43" spans="1:6" x14ac:dyDescent="0.35">
      <c r="A43" s="11" t="s">
        <v>14</v>
      </c>
      <c r="B43" s="11">
        <v>900</v>
      </c>
      <c r="C43" s="11">
        <v>1</v>
      </c>
      <c r="D43" s="11">
        <v>1</v>
      </c>
      <c r="E43" s="12">
        <v>44</v>
      </c>
      <c r="F43" s="11">
        <f t="shared" si="0"/>
        <v>5</v>
      </c>
    </row>
    <row r="44" spans="1:6" x14ac:dyDescent="0.35">
      <c r="A44" s="11" t="s">
        <v>12</v>
      </c>
      <c r="B44" s="11">
        <v>1465</v>
      </c>
      <c r="C44" s="11">
        <v>2</v>
      </c>
      <c r="D44" s="11">
        <v>2</v>
      </c>
      <c r="E44" s="12">
        <v>49.81</v>
      </c>
      <c r="F44" s="11">
        <f t="shared" si="0"/>
        <v>5</v>
      </c>
    </row>
    <row r="45" spans="1:6" x14ac:dyDescent="0.35">
      <c r="A45" s="11" t="s">
        <v>37</v>
      </c>
      <c r="B45" s="11">
        <v>2000</v>
      </c>
      <c r="C45" s="11">
        <v>4</v>
      </c>
      <c r="D45" s="11">
        <v>1</v>
      </c>
      <c r="E45" s="12">
        <v>312</v>
      </c>
      <c r="F45" s="11">
        <f t="shared" si="0"/>
        <v>5</v>
      </c>
    </row>
    <row r="46" spans="1:6" x14ac:dyDescent="0.35">
      <c r="A46" s="11" t="s">
        <v>14</v>
      </c>
      <c r="B46" s="11">
        <v>1268</v>
      </c>
      <c r="C46" s="11">
        <v>2</v>
      </c>
      <c r="D46" s="11">
        <v>1</v>
      </c>
      <c r="E46" s="12">
        <v>127</v>
      </c>
      <c r="F46" s="11">
        <f t="shared" si="0"/>
        <v>5</v>
      </c>
    </row>
    <row r="47" spans="1:6" x14ac:dyDescent="0.35">
      <c r="A47" s="11" t="s">
        <v>12</v>
      </c>
      <c r="B47" s="11">
        <v>1830</v>
      </c>
      <c r="C47" s="11">
        <v>3</v>
      </c>
      <c r="D47" s="11">
        <v>3</v>
      </c>
      <c r="E47" s="12">
        <v>89.89</v>
      </c>
      <c r="F47" s="11">
        <f t="shared" ref="F47:F49" si="1">COUNTA(A47:E47)</f>
        <v>5</v>
      </c>
    </row>
    <row r="48" spans="1:6" x14ac:dyDescent="0.35">
      <c r="A48" s="11" t="s">
        <v>14</v>
      </c>
      <c r="B48" s="11">
        <v>1200</v>
      </c>
      <c r="C48" s="11">
        <v>2</v>
      </c>
      <c r="D48" s="11">
        <v>1</v>
      </c>
      <c r="E48" s="12">
        <v>54</v>
      </c>
      <c r="F48" s="11">
        <f t="shared" si="1"/>
        <v>5</v>
      </c>
    </row>
    <row r="49" spans="1:6" x14ac:dyDescent="0.35">
      <c r="A49" s="11" t="s">
        <v>12</v>
      </c>
      <c r="B49" s="11">
        <v>1400</v>
      </c>
      <c r="C49" s="11">
        <v>3</v>
      </c>
      <c r="D49" s="11">
        <v>2</v>
      </c>
      <c r="E49" s="12">
        <v>90</v>
      </c>
      <c r="F49" s="11">
        <f t="shared" si="1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2025-12-05T08:33:25Z</dcterms:created>
  <dcterms:modified xsi:type="dcterms:W3CDTF">2025-12-05T11:31:33Z</dcterms:modified>
</cp:coreProperties>
</file>